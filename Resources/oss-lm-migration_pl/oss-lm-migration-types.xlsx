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ral0922\Documents\CMT_2026\26.1\CMT_2026\config\oss-lm-migration\"/>
    </mc:Choice>
  </mc:AlternateContent>
  <bookViews>
    <workbookView xWindow="0" yWindow="0" windowWidth="19200" windowHeight="6930" activeTab="1"/>
  </bookViews>
  <sheets>
    <sheet name="Revision" sheetId="5" r:id="rId1"/>
    <sheet name="Index" sheetId="4" r:id="rId2"/>
    <sheet name="Migration Types" sheetId="1" r:id="rId3"/>
    <sheet name="Source Types" sheetId="2" r:id="rId4"/>
    <sheet name="Source Systems" sheetId="3" r:id="rId5"/>
    <sheet name="Orchestrator" sheetId="6" r:id="rId6"/>
    <sheet name="Variables" sheetId="7" r:id="rId7"/>
    <sheet name="Pre-Post Actions" sheetId="8" r:id="rId8"/>
    <sheet name="utility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4" l="1"/>
  <c r="B9" i="4"/>
  <c r="B7" i="4"/>
</calcChain>
</file>

<file path=xl/sharedStrings.xml><?xml version="1.0" encoding="utf-8"?>
<sst xmlns="http://schemas.openxmlformats.org/spreadsheetml/2006/main" count="233" uniqueCount="145">
  <si>
    <t>Migration Type</t>
  </si>
  <si>
    <t>Description</t>
  </si>
  <si>
    <t>Source System</t>
  </si>
  <si>
    <t>Source Entity Type</t>
  </si>
  <si>
    <t>Target System</t>
  </si>
  <si>
    <t>Target Entity Type</t>
  </si>
  <si>
    <t>Migration Type Dependencies</t>
  </si>
  <si>
    <t>Source Type</t>
  </si>
  <si>
    <t>location</t>
  </si>
  <si>
    <t>Provider Location</t>
  </si>
  <si>
    <t>Customer Location</t>
  </si>
  <si>
    <t>CBT</t>
  </si>
  <si>
    <t>customer-location</t>
  </si>
  <si>
    <t>provider-location</t>
  </si>
  <si>
    <t xml:space="preserve">Location Inventory </t>
  </si>
  <si>
    <t>Kafka is a distributed streaming platform that allows real-time data processing and messaging across different systems</t>
  </si>
  <si>
    <t>PostgreSQL is a relational database management system that stores structured data following ACID (Atomicity, Consistency, Isolation, Durability) principles</t>
  </si>
  <si>
    <t>MongoDB is a single-model document database.</t>
  </si>
  <si>
    <t>ArangoDB - native multi-model DBMS for graph, document, key/value and search. All in one engine and accessible with one query language.</t>
  </si>
  <si>
    <t>Oracle is a proprietary multi-model database management system</t>
  </si>
  <si>
    <t>Parameter Name</t>
  </si>
  <si>
    <t>Parameter Type</t>
  </si>
  <si>
    <t>Parameter Description</t>
  </si>
  <si>
    <t>Source Description</t>
  </si>
  <si>
    <t>host</t>
  </si>
  <si>
    <t>port</t>
  </si>
  <si>
    <t>username</t>
  </si>
  <si>
    <t>password</t>
  </si>
  <si>
    <t>String</t>
  </si>
  <si>
    <t>Number</t>
  </si>
  <si>
    <t>consumer_group</t>
  </si>
  <si>
    <t>database</t>
  </si>
  <si>
    <t>Source System Key</t>
  </si>
  <si>
    <t>Source System Name</t>
  </si>
  <si>
    <t>cbt</t>
  </si>
  <si>
    <t>USE</t>
  </si>
  <si>
    <t>Document Type</t>
  </si>
  <si>
    <t>Document Purpose</t>
  </si>
  <si>
    <t>Design Type</t>
  </si>
  <si>
    <t>Hyperlink to sheet</t>
  </si>
  <si>
    <t>Sheet Name</t>
  </si>
  <si>
    <t>ID</t>
  </si>
  <si>
    <t>Migration Types</t>
  </si>
  <si>
    <t>Source Types</t>
  </si>
  <si>
    <t>Source Systems</t>
  </si>
  <si>
    <t>Version</t>
  </si>
  <si>
    <t>Date</t>
  </si>
  <si>
    <t>Author</t>
  </si>
  <si>
    <t>Description of Change</t>
  </si>
  <si>
    <t>Tickets</t>
  </si>
  <si>
    <t>Sprint</t>
  </si>
  <si>
    <t>1.0.0</t>
  </si>
  <si>
    <t>Denis</t>
  </si>
  <si>
    <t>Initial design</t>
  </si>
  <si>
    <t>Migration File Relative Path</t>
  </si>
  <si>
    <t>provider-location-mapping.xlsx</t>
  </si>
  <si>
    <t>customer-location-mapping.xlsx</t>
  </si>
  <si>
    <t>1.0.1</t>
  </si>
  <si>
    <t>Add column 'Migration File Relative Path'</t>
  </si>
  <si>
    <t>oracle</t>
  </si>
  <si>
    <t>postgreSQL</t>
  </si>
  <si>
    <t>kafka</t>
  </si>
  <si>
    <t>arangoDB</t>
  </si>
  <si>
    <t>mongoDB</t>
  </si>
  <si>
    <t>country-mapping.xlsx</t>
  </si>
  <si>
    <t>indoor-space-mapping.xlsx</t>
  </si>
  <si>
    <t>region-mapping.xlsx</t>
  </si>
  <si>
    <t>wire-center-mapping.xlsx</t>
  </si>
  <si>
    <t>Country</t>
  </si>
  <si>
    <t>Region</t>
  </si>
  <si>
    <t>Indoor Space</t>
  </si>
  <si>
    <t>Wire Center</t>
  </si>
  <si>
    <t>country</t>
  </si>
  <si>
    <t>indoor-space</t>
  </si>
  <si>
    <t>region</t>
  </si>
  <si>
    <t>wire-center</t>
  </si>
  <si>
    <t>Orchestrator</t>
  </si>
  <si>
    <t>Orchestrator Name</t>
  </si>
  <si>
    <t>nifi</t>
  </si>
  <si>
    <t>Orchestrator parameters</t>
  </si>
  <si>
    <t>Batch Size</t>
  </si>
  <si>
    <t>Variable Name</t>
  </si>
  <si>
    <t>Variable Value</t>
  </si>
  <si>
    <t>Note</t>
  </si>
  <si>
    <t>oss-inventory</t>
  </si>
  <si>
    <t>location-manager</t>
  </si>
  <si>
    <t>load-data-processor</t>
  </si>
  <si>
    <t>oss-yang-inventory</t>
  </si>
  <si>
    <t>list if values: oss-yang-inventory, python</t>
  </si>
  <si>
    <t>generate-names</t>
  </si>
  <si>
    <t>true</t>
  </si>
  <si>
    <t>dl-enrichment</t>
  </si>
  <si>
    <t>false</t>
  </si>
  <si>
    <t>Use NDO Device Library</t>
  </si>
  <si>
    <t>city</t>
  </si>
  <si>
    <t>Variables</t>
  </si>
  <si>
    <t>Action</t>
  </si>
  <si>
    <t>Processor</t>
  </si>
  <si>
    <t>Relative Path</t>
  </si>
  <si>
    <t>Use</t>
  </si>
  <si>
    <t>Actions</t>
  </si>
  <si>
    <t>mistral</t>
  </si>
  <si>
    <t>Pre-Post Actions</t>
  </si>
  <si>
    <t>list of values: location-manager, consolidated-inventory</t>
  </si>
  <si>
    <t>Step Description</t>
  </si>
  <si>
    <t>create a dictionary</t>
  </si>
  <si>
    <t>Populate a dictionary</t>
  </si>
  <si>
    <t>Gather mdc statistics</t>
  </si>
  <si>
    <t>Get current date and time</t>
  </si>
  <si>
    <t>No</t>
  </si>
  <si>
    <t xml:space="preserve">scripts\create_dict_generic.sql </t>
  </si>
  <si>
    <t xml:space="preserve">scripts\populate_dict_generic.sql </t>
  </si>
  <si>
    <t xml:space="preserve">scripts\gather-session-statistics.sql </t>
  </si>
  <si>
    <t xml:space="preserve">scripts\currdate.py </t>
  </si>
  <si>
    <t>batch-modes</t>
  </si>
  <si>
    <t>built-in</t>
  </si>
  <si>
    <t>single</t>
  </si>
  <si>
    <t>hierarchical</t>
  </si>
  <si>
    <t>Pre</t>
  </si>
  <si>
    <t>Post</t>
  </si>
  <si>
    <t>Processors</t>
  </si>
  <si>
    <t>Orchestrators</t>
  </si>
  <si>
    <t>sql</t>
  </si>
  <si>
    <t>python</t>
  </si>
  <si>
    <t>mdc</t>
  </si>
  <si>
    <t>load-data-step</t>
  </si>
  <si>
    <t>true, false</t>
  </si>
  <si>
    <t>frue, false</t>
  </si>
  <si>
    <t>Recreate MDC fallout views</t>
  </si>
  <si>
    <t>scripts\recreate_fallout_views.sql</t>
  </si>
  <si>
    <t>Batch Mode</t>
  </si>
  <si>
    <t>create sdb table countries</t>
  </si>
  <si>
    <t>scripts\sdb_countries.sql</t>
  </si>
  <si>
    <t>create sdb table regions</t>
  </si>
  <si>
    <t>scripts\sdb_regions.sql</t>
  </si>
  <si>
    <t>create sdb table wire_centers</t>
  </si>
  <si>
    <t>create sdb table indoor_spaces</t>
  </si>
  <si>
    <t>scripts\sdb_wire_centers.sql</t>
  </si>
  <si>
    <t>scripts\sdb_indoor_spaces.sql</t>
  </si>
  <si>
    <t>create sdb table cust_locations</t>
  </si>
  <si>
    <t>scripts\sdb_cust_locations.sql</t>
  </si>
  <si>
    <t>create sdb table provider_locations</t>
  </si>
  <si>
    <t>scripts\sdb_provider_locations.sql</t>
  </si>
  <si>
    <t>port=21009</t>
  </si>
  <si>
    <t>oss-lm-mig-sr_21009_PL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</si>
</sst>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1"/>
      <color indexed="8"/>
      <name val="Calibri"/>
      <family val="2"/>
      <charset val="204"/>
    </font>
    <font>
      <strike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2" fillId="0" borderId="0"/>
  </cellStyleXfs>
  <cellXfs count="43">
    <xf numFmtId="0" fontId="0" fillId="0" borderId="0" xfId="0"/>
    <xf numFmtId="0" fontId="0" fillId="0" borderId="0" xfId="0" applyFill="1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0" borderId="0" xfId="0" applyFont="1" applyFill="1"/>
    <xf numFmtId="0" fontId="0" fillId="0" borderId="0" xfId="0" applyFill="1" applyAlignment="1">
      <alignment wrapText="1"/>
    </xf>
    <xf numFmtId="0" fontId="0" fillId="0" borderId="0" xfId="0" applyBorder="1"/>
    <xf numFmtId="0" fontId="0" fillId="0" borderId="1" xfId="0" applyBorder="1" applyAlignment="1">
      <alignment wrapText="1"/>
    </xf>
    <xf numFmtId="0" fontId="0" fillId="0" borderId="1" xfId="0" applyFill="1" applyBorder="1"/>
    <xf numFmtId="49" fontId="4" fillId="6" borderId="1" xfId="0" applyNumberFormat="1" applyFont="1" applyFill="1" applyBorder="1" applyAlignment="1">
      <alignment wrapText="1"/>
    </xf>
    <xf numFmtId="0" fontId="2" fillId="0" borderId="0" xfId="2" applyAlignment="1">
      <alignment wrapText="1"/>
    </xf>
    <xf numFmtId="49" fontId="5" fillId="7" borderId="1" xfId="2" applyNumberFormat="1" applyFont="1" applyFill="1" applyBorder="1" applyAlignment="1">
      <alignment wrapText="1"/>
    </xf>
    <xf numFmtId="0" fontId="2" fillId="0" borderId="1" xfId="2" applyBorder="1" applyAlignment="1">
      <alignment wrapText="1"/>
    </xf>
    <xf numFmtId="0" fontId="6" fillId="4" borderId="1" xfId="2" applyFont="1" applyFill="1" applyBorder="1" applyAlignment="1">
      <alignment horizontal="center" wrapText="1"/>
    </xf>
    <xf numFmtId="0" fontId="5" fillId="4" borderId="1" xfId="2" applyFont="1" applyFill="1" applyBorder="1" applyAlignment="1">
      <alignment horizontal="center" wrapText="1"/>
    </xf>
    <xf numFmtId="49" fontId="5" fillId="8" borderId="1" xfId="2" applyNumberFormat="1" applyFont="1" applyFill="1" applyBorder="1" applyAlignment="1">
      <alignment wrapText="1"/>
    </xf>
    <xf numFmtId="0" fontId="3" fillId="0" borderId="1" xfId="1" quotePrefix="1" applyBorder="1"/>
    <xf numFmtId="0" fontId="7" fillId="4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0" xfId="2" applyFont="1" applyAlignment="1">
      <alignment wrapText="1"/>
    </xf>
    <xf numFmtId="0" fontId="8" fillId="0" borderId="0" xfId="0" applyFont="1" applyFill="1"/>
    <xf numFmtId="0" fontId="8" fillId="0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0" borderId="1" xfId="1" applyBorder="1"/>
    <xf numFmtId="49" fontId="0" fillId="5" borderId="1" xfId="0" applyNumberFormat="1" applyFill="1" applyBorder="1"/>
    <xf numFmtId="49" fontId="0" fillId="0" borderId="0" xfId="0" applyNumberFormat="1"/>
    <xf numFmtId="49" fontId="9" fillId="0" borderId="0" xfId="0" applyNumberFormat="1" applyFont="1"/>
    <xf numFmtId="0" fontId="2" fillId="0" borderId="1" xfId="2" applyFont="1" applyBorder="1" applyAlignment="1">
      <alignment wrapText="1"/>
    </xf>
    <xf numFmtId="0" fontId="3" fillId="0" borderId="1" xfId="1" applyBorder="1" applyAlignment="1">
      <alignment wrapText="1"/>
    </xf>
    <xf numFmtId="0" fontId="10" fillId="2" borderId="1" xfId="0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3" fillId="0" borderId="1" xfId="1" applyFill="1" applyBorder="1"/>
    <xf numFmtId="0" fontId="1" fillId="2" borderId="1" xfId="0" applyFont="1" applyFill="1" applyBorder="1" applyAlignment="1"/>
    <xf numFmtId="0" fontId="1" fillId="4" borderId="1" xfId="0" applyFont="1" applyFill="1" applyBorder="1" applyAlignment="1"/>
    <xf numFmtId="0" fontId="0" fillId="5" borderId="1" xfId="0" applyFill="1" applyBorder="1" applyAlignment="1"/>
    <xf numFmtId="0" fontId="0" fillId="0" borderId="0" xfId="0" applyAlignment="1"/>
    <xf numFmtId="0" fontId="12" fillId="0" borderId="0" xfId="0" applyFont="1"/>
    <xf numFmtId="0" fontId="0" fillId="0" borderId="1" xfId="2" applyFont="1" applyBorder="1" applyAlignment="1">
      <alignment wrapText="1"/>
    </xf>
  </cellXfs>
  <cellStyles count="3">
    <cellStyle name="Hyperlink" xfId="1" builtinId="8"/>
    <cellStyle name="Normal" xfId="0" builtinId="0"/>
    <cellStyle name="Normal 2" xfId="2"/>
  </cellStyles>
  <dxfs count="11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</font>
      <fill>
        <patternFill patternType="none">
          <fgColor indexed="64"/>
          <bgColor indexed="65"/>
        </patternFill>
      </fill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Table2" displayName="Table2" ref="A1:K7" totalsRowShown="0" headerRowDxfId="10" dataDxfId="9">
  <tableColumns count="11">
    <tableColumn id="1" name="Migration Type" dataDxfId="8"/>
    <tableColumn id="8" name="Migration File Relative Path" dataDxfId="7"/>
    <tableColumn id="2" name="Description" dataDxfId="6"/>
    <tableColumn id="5" name="Source System" dataDxfId="5"/>
    <tableColumn id="6" name="Source Entity Type" dataDxfId="4"/>
    <tableColumn id="3" name="Target System" dataDxfId="3"/>
    <tableColumn id="4" name="Target Entity Type" dataDxfId="2"/>
    <tableColumn id="7" name="Migration Type Dependencies" dataDxfId="1"/>
    <tableColumn id="10" name="Batch Size"/>
    <tableColumn id="11" name="Batch Mode"/>
    <tableColumn id="9" name="USE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D14" sqref="D14"/>
    </sheetView>
  </sheetViews>
  <sheetFormatPr defaultRowHeight="14.5"/>
  <cols>
    <col min="1" max="1" width="10.90625" customWidth="1"/>
    <col min="2" max="2" width="11.08984375" customWidth="1"/>
    <col min="4" max="4" width="21.90625" customWidth="1"/>
  </cols>
  <sheetData>
    <row r="1" spans="1:6" ht="38.4" customHeight="1">
      <c r="A1" s="18" t="s">
        <v>45</v>
      </c>
      <c r="B1" s="18" t="s">
        <v>46</v>
      </c>
      <c r="C1" s="18" t="s">
        <v>47</v>
      </c>
      <c r="D1" s="18" t="s">
        <v>48</v>
      </c>
      <c r="E1" s="18" t="s">
        <v>49</v>
      </c>
      <c r="F1" s="18" t="s">
        <v>50</v>
      </c>
    </row>
    <row r="2" spans="1:6">
      <c r="A2" s="4" t="s">
        <v>51</v>
      </c>
      <c r="B2" s="19">
        <v>45518</v>
      </c>
      <c r="C2" s="4" t="s">
        <v>52</v>
      </c>
      <c r="D2" s="4" t="s">
        <v>53</v>
      </c>
      <c r="E2" s="4"/>
      <c r="F2" s="4"/>
    </row>
    <row r="3" spans="1:6" ht="30" customHeight="1">
      <c r="A3" s="4" t="s">
        <v>57</v>
      </c>
      <c r="B3" s="19">
        <v>45526</v>
      </c>
      <c r="C3" s="4" t="s">
        <v>52</v>
      </c>
      <c r="D3" s="8" t="s">
        <v>58</v>
      </c>
      <c r="E3" s="4"/>
      <c r="F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B5" sqref="B5"/>
    </sheetView>
  </sheetViews>
  <sheetFormatPr defaultRowHeight="14.5"/>
  <cols>
    <col min="1" max="1" width="21.453125" customWidth="1"/>
    <col min="2" max="2" width="28.54296875" customWidth="1"/>
    <col min="3" max="3" width="22" customWidth="1"/>
  </cols>
  <sheetData>
    <row r="1" spans="1:4" ht="14.4" customHeight="1">
      <c r="A1" s="2" t="s">
        <v>36</v>
      </c>
      <c r="B1" s="10" t="s">
        <v>42</v>
      </c>
      <c r="C1" s="11"/>
      <c r="D1" s="11"/>
    </row>
    <row r="2" spans="1:4" ht="15.5">
      <c r="A2" s="12" t="s">
        <v>37</v>
      </c>
      <c r="B2" s="13"/>
      <c r="C2" s="11"/>
      <c r="D2" s="11"/>
    </row>
    <row r="3" spans="1:4" ht="63" customHeight="1">
      <c r="A3" s="12" t="s">
        <v>1</v>
      </c>
      <c r="B3" s="42"/>
      <c r="C3" s="11"/>
      <c r="D3" s="11"/>
    </row>
    <row r="4" spans="1:4" ht="14.4" customHeight="1">
      <c r="A4" s="2" t="s">
        <v>41</v>
      </c>
      <c r="B4" s="10" t="s">
        <v>144</v>
      </c>
      <c r="C4" s="20"/>
      <c r="D4" s="11"/>
    </row>
    <row r="5" spans="1:4" ht="15.5">
      <c r="A5" s="16"/>
      <c r="B5" s="13"/>
      <c r="C5" s="11"/>
      <c r="D5" s="11"/>
    </row>
    <row r="6" spans="1:4" ht="16.649999999999999" customHeight="1">
      <c r="A6" s="14" t="s">
        <v>38</v>
      </c>
      <c r="B6" s="15" t="s">
        <v>39</v>
      </c>
      <c r="C6" s="15" t="s">
        <v>40</v>
      </c>
      <c r="D6" s="15" t="s">
        <v>35</v>
      </c>
    </row>
    <row r="7" spans="1:4">
      <c r="A7" s="4" t="s">
        <v>42</v>
      </c>
      <c r="B7" s="17" t="str">
        <f>HYPERLINK(CONCATENATE("#",C7,"!$A$1"),C7)</f>
        <v>Migration Types</v>
      </c>
      <c r="C7" s="4" t="s">
        <v>42</v>
      </c>
      <c r="D7" s="4"/>
    </row>
    <row r="8" spans="1:4">
      <c r="A8" s="4" t="s">
        <v>43</v>
      </c>
      <c r="B8" s="17" t="str">
        <f t="shared" ref="B8:B9" si="0">HYPERLINK(CONCATENATE("#",C8,"!$A$1"),C8)</f>
        <v>Source Types</v>
      </c>
      <c r="C8" s="4" t="s">
        <v>43</v>
      </c>
      <c r="D8" s="4"/>
    </row>
    <row r="9" spans="1:4">
      <c r="A9" s="4" t="s">
        <v>44</v>
      </c>
      <c r="B9" s="17" t="str">
        <f t="shared" si="0"/>
        <v>Source Systems</v>
      </c>
      <c r="C9" s="4" t="s">
        <v>44</v>
      </c>
      <c r="D9" s="4"/>
    </row>
    <row r="10" spans="1:4">
      <c r="A10" s="4" t="s">
        <v>76</v>
      </c>
      <c r="B10" s="25" t="s">
        <v>76</v>
      </c>
      <c r="C10" s="4" t="s">
        <v>76</v>
      </c>
      <c r="D10" s="4"/>
    </row>
    <row r="11" spans="1:4" s="11" customFormat="1">
      <c r="A11" s="29" t="s">
        <v>95</v>
      </c>
      <c r="B11" s="30" t="s">
        <v>95</v>
      </c>
      <c r="C11" s="29" t="s">
        <v>95</v>
      </c>
      <c r="D11" s="13"/>
    </row>
    <row r="12" spans="1:4">
      <c r="A12" s="9" t="s">
        <v>102</v>
      </c>
      <c r="B12" s="36" t="s">
        <v>102</v>
      </c>
      <c r="C12" s="9" t="s">
        <v>102</v>
      </c>
      <c r="D12" s="4"/>
    </row>
  </sheetData>
  <hyperlinks>
    <hyperlink ref="B10" location="Orchestrator!A1" display="Orchestrator"/>
    <hyperlink ref="B11" location="Variables!A1" display="Variables"/>
    <hyperlink ref="B12" location="'Pre-Post Actions'!A1" display="Pre-Post Actions"/>
  </hyperlink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opLeftCell="D1" workbookViewId="0">
      <selection activeCell="K3" sqref="K3"/>
    </sheetView>
  </sheetViews>
  <sheetFormatPr defaultRowHeight="14.5"/>
  <cols>
    <col min="1" max="1" width="23.453125" customWidth="1"/>
    <col min="2" max="2" width="28" customWidth="1"/>
    <col min="3" max="4" width="17.08984375" customWidth="1"/>
    <col min="5" max="5" width="20.453125" customWidth="1"/>
    <col min="6" max="6" width="20.54296875" bestFit="1" customWidth="1"/>
    <col min="7" max="7" width="21.90625" customWidth="1"/>
    <col min="8" max="8" width="37.08984375" style="24" customWidth="1"/>
    <col min="9" max="9" width="12.453125" style="24" customWidth="1"/>
    <col min="10" max="10" width="17.26953125" style="24" customWidth="1"/>
    <col min="11" max="11" width="10.453125" bestFit="1" customWidth="1"/>
  </cols>
  <sheetData>
    <row r="1" spans="1:11" s="35" customFormat="1" ht="17" customHeight="1">
      <c r="A1" s="31" t="s">
        <v>0</v>
      </c>
      <c r="B1" s="31" t="s">
        <v>54</v>
      </c>
      <c r="C1" s="32" t="s">
        <v>1</v>
      </c>
      <c r="D1" s="33" t="s">
        <v>2</v>
      </c>
      <c r="E1" s="34" t="s">
        <v>3</v>
      </c>
      <c r="F1" s="32" t="s">
        <v>4</v>
      </c>
      <c r="G1" s="32" t="s">
        <v>5</v>
      </c>
      <c r="H1" s="34" t="s">
        <v>6</v>
      </c>
      <c r="I1" s="34" t="s">
        <v>80</v>
      </c>
      <c r="J1" s="34" t="s">
        <v>130</v>
      </c>
      <c r="K1" s="34" t="s">
        <v>35</v>
      </c>
    </row>
    <row r="2" spans="1:11">
      <c r="A2" s="5" t="s">
        <v>72</v>
      </c>
      <c r="B2" s="5" t="s">
        <v>64</v>
      </c>
      <c r="C2" s="1"/>
      <c r="D2" s="1" t="s">
        <v>34</v>
      </c>
      <c r="E2" s="1" t="s">
        <v>68</v>
      </c>
      <c r="F2" s="1" t="s">
        <v>14</v>
      </c>
      <c r="G2" s="1" t="s">
        <v>72</v>
      </c>
      <c r="H2" s="6"/>
      <c r="I2" s="6">
        <v>1</v>
      </c>
      <c r="J2" s="6" t="s">
        <v>116</v>
      </c>
      <c r="K2" s="1"/>
    </row>
    <row r="3" spans="1:11">
      <c r="A3" s="1" t="s">
        <v>74</v>
      </c>
      <c r="B3" s="1" t="s">
        <v>66</v>
      </c>
      <c r="C3" s="1"/>
      <c r="D3" s="1" t="s">
        <v>34</v>
      </c>
      <c r="E3" s="1" t="s">
        <v>69</v>
      </c>
      <c r="F3" s="1" t="s">
        <v>14</v>
      </c>
      <c r="G3" s="1" t="s">
        <v>74</v>
      </c>
      <c r="H3" s="23" t="s">
        <v>72</v>
      </c>
      <c r="I3" s="23">
        <v>100</v>
      </c>
      <c r="J3" s="23" t="s">
        <v>115</v>
      </c>
      <c r="K3" s="1"/>
    </row>
    <row r="4" spans="1:11">
      <c r="A4" s="1" t="s">
        <v>75</v>
      </c>
      <c r="B4" s="1" t="s">
        <v>67</v>
      </c>
      <c r="C4" s="1"/>
      <c r="D4" s="1" t="s">
        <v>34</v>
      </c>
      <c r="E4" s="6" t="s">
        <v>71</v>
      </c>
      <c r="F4" s="1" t="s">
        <v>14</v>
      </c>
      <c r="G4" s="1" t="s">
        <v>94</v>
      </c>
      <c r="H4" s="23" t="s">
        <v>74</v>
      </c>
      <c r="I4" s="23">
        <v>50</v>
      </c>
      <c r="J4" s="23" t="s">
        <v>115</v>
      </c>
      <c r="K4" s="1"/>
    </row>
    <row r="5" spans="1:11">
      <c r="A5" s="5" t="s">
        <v>12</v>
      </c>
      <c r="B5" s="5" t="s">
        <v>56</v>
      </c>
      <c r="C5" s="1"/>
      <c r="D5" s="1" t="s">
        <v>34</v>
      </c>
      <c r="E5" s="1" t="s">
        <v>10</v>
      </c>
      <c r="F5" s="1" t="s">
        <v>14</v>
      </c>
      <c r="G5" s="1" t="s">
        <v>8</v>
      </c>
      <c r="H5" s="6" t="s">
        <v>75</v>
      </c>
      <c r="I5" s="6">
        <v>150</v>
      </c>
      <c r="J5" s="6" t="s">
        <v>115</v>
      </c>
      <c r="K5" s="1"/>
    </row>
    <row r="6" spans="1:11">
      <c r="A6" s="5" t="s">
        <v>13</v>
      </c>
      <c r="B6" s="5" t="s">
        <v>55</v>
      </c>
      <c r="C6" s="1"/>
      <c r="D6" s="1" t="s">
        <v>34</v>
      </c>
      <c r="E6" s="1" t="s">
        <v>9</v>
      </c>
      <c r="F6" s="1" t="s">
        <v>14</v>
      </c>
      <c r="G6" s="1" t="s">
        <v>8</v>
      </c>
      <c r="H6" s="6" t="s">
        <v>75</v>
      </c>
      <c r="I6" s="6">
        <v>200</v>
      </c>
      <c r="J6" s="6" t="s">
        <v>115</v>
      </c>
      <c r="K6" s="1"/>
    </row>
    <row r="7" spans="1:11">
      <c r="A7" s="1" t="s">
        <v>73</v>
      </c>
      <c r="B7" s="1" t="s">
        <v>65</v>
      </c>
      <c r="C7" s="1"/>
      <c r="D7" s="1" t="s">
        <v>34</v>
      </c>
      <c r="E7" s="1" t="s">
        <v>70</v>
      </c>
      <c r="F7" s="1" t="s">
        <v>14</v>
      </c>
      <c r="G7" s="1" t="s">
        <v>73</v>
      </c>
      <c r="H7" s="5" t="s">
        <v>13</v>
      </c>
      <c r="I7" s="5">
        <v>40</v>
      </c>
      <c r="J7" s="5" t="s">
        <v>115</v>
      </c>
      <c r="K7" s="1"/>
    </row>
    <row r="8" spans="1:1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11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</row>
    <row r="10" spans="1:11">
      <c r="A10" s="1"/>
      <c r="B10" s="1"/>
      <c r="C10" s="1"/>
      <c r="D10" s="1"/>
      <c r="E10" s="6"/>
      <c r="F10" s="1"/>
      <c r="G10" s="1"/>
      <c r="H10" s="23"/>
      <c r="I10" s="23"/>
      <c r="J10" s="23"/>
      <c r="K10" s="1"/>
    </row>
    <row r="11" spans="1:11">
      <c r="A11" s="21"/>
      <c r="B11" s="21"/>
      <c r="C11" s="21"/>
      <c r="D11" s="21"/>
      <c r="E11" s="22"/>
      <c r="F11" s="21"/>
      <c r="G11" s="21"/>
      <c r="H11" s="22"/>
      <c r="I11" s="22"/>
      <c r="J11" s="22"/>
      <c r="K11" s="1"/>
    </row>
    <row r="12" spans="1:11">
      <c r="A12" s="1"/>
      <c r="B12" s="1"/>
      <c r="C12" s="1"/>
      <c r="D12" s="1"/>
      <c r="E12" s="1"/>
      <c r="F12" s="1"/>
      <c r="G12" s="1"/>
      <c r="H12" s="6"/>
      <c r="I12" s="6"/>
      <c r="J12" s="6"/>
      <c r="K12" s="1"/>
    </row>
    <row r="13" spans="1:11">
      <c r="A13" s="1"/>
      <c r="B13" s="1"/>
      <c r="C13" s="1"/>
      <c r="D13" s="1"/>
      <c r="E13" s="1"/>
      <c r="F13" s="1"/>
      <c r="G13" s="1"/>
      <c r="H13" s="6"/>
      <c r="I13" s="6"/>
      <c r="J13" s="6"/>
      <c r="K13" s="1"/>
    </row>
    <row r="14" spans="1:11">
      <c r="A14" s="1"/>
      <c r="B14" s="1"/>
      <c r="C14" s="1"/>
      <c r="D14" s="1"/>
      <c r="E14" s="1"/>
      <c r="F14" s="1"/>
      <c r="G14" s="1"/>
      <c r="H14" s="6"/>
      <c r="I14" s="6"/>
      <c r="J14" s="6"/>
      <c r="K14" s="1"/>
    </row>
    <row r="15" spans="1:11">
      <c r="A15" s="1"/>
      <c r="B15" s="1"/>
      <c r="C15" s="1"/>
      <c r="D15" s="1"/>
      <c r="E15" s="1"/>
      <c r="F15" s="1"/>
      <c r="G15" s="1"/>
      <c r="H15" s="6"/>
      <c r="I15" s="6"/>
      <c r="J15" s="6"/>
      <c r="K15" s="1"/>
    </row>
    <row r="16" spans="1:11">
      <c r="A16" s="1"/>
      <c r="B16" s="1"/>
      <c r="C16" s="1"/>
      <c r="D16" s="1"/>
      <c r="E16" s="1"/>
      <c r="F16" s="1"/>
      <c r="G16" s="1"/>
      <c r="H16" s="6"/>
      <c r="I16" s="6"/>
      <c r="J16" s="6"/>
      <c r="K16" s="1"/>
    </row>
    <row r="17" spans="1:11">
      <c r="A17" s="1"/>
      <c r="B17" s="1"/>
      <c r="C17" s="1"/>
      <c r="D17" s="1"/>
      <c r="E17" s="1"/>
      <c r="F17" s="1"/>
      <c r="G17" s="1"/>
      <c r="H17" s="6"/>
      <c r="I17" s="6"/>
      <c r="J17" s="6"/>
      <c r="K17" s="1"/>
    </row>
    <row r="18" spans="1:11">
      <c r="A18" s="1"/>
      <c r="B18" s="1"/>
      <c r="C18" s="1"/>
      <c r="D18" s="1"/>
      <c r="E18" s="1"/>
      <c r="F18" s="1"/>
      <c r="G18" s="1"/>
      <c r="H18" s="6"/>
      <c r="I18" s="6"/>
      <c r="J18" s="6"/>
      <c r="K18" s="1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utility!$G$2:$G$4</xm:f>
          </x14:formula1>
          <xm:sqref>J2:J189</xm:sqref>
        </x14:dataValidation>
        <x14:dataValidation type="list" allowBlank="1" showInputMessage="1" showErrorMessage="1">
          <x14:formula1>
            <xm:f>'Source Systems'!$B$2:$B$18</xm:f>
          </x14:formula1>
          <xm:sqref>D2:D128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A4" sqref="A4"/>
    </sheetView>
  </sheetViews>
  <sheetFormatPr defaultRowHeight="14.5"/>
  <cols>
    <col min="1" max="1" width="20.90625" customWidth="1"/>
    <col min="2" max="2" width="98.90625" bestFit="1" customWidth="1"/>
    <col min="3" max="3" width="24.54296875" customWidth="1"/>
    <col min="4" max="4" width="15.08984375" customWidth="1"/>
    <col min="5" max="5" width="24.54296875" customWidth="1"/>
    <col min="6" max="6" width="18.453125" customWidth="1"/>
    <col min="7" max="7" width="17.90625" customWidth="1"/>
  </cols>
  <sheetData>
    <row r="1" spans="1:5" s="40" customFormat="1" ht="16.5" customHeight="1">
      <c r="A1" s="37" t="s">
        <v>7</v>
      </c>
      <c r="B1" s="38" t="s">
        <v>23</v>
      </c>
      <c r="C1" s="38" t="s">
        <v>20</v>
      </c>
      <c r="D1" s="38" t="s">
        <v>21</v>
      </c>
      <c r="E1" s="39" t="s">
        <v>22</v>
      </c>
    </row>
    <row r="2" spans="1:5">
      <c r="A2" s="4" t="s">
        <v>59</v>
      </c>
      <c r="B2" s="8" t="s">
        <v>19</v>
      </c>
      <c r="C2" s="4"/>
      <c r="D2" s="4"/>
      <c r="E2" s="4"/>
    </row>
    <row r="3" spans="1:5" ht="29">
      <c r="A3" s="4" t="s">
        <v>60</v>
      </c>
      <c r="B3" s="8" t="s">
        <v>16</v>
      </c>
      <c r="C3" s="4"/>
      <c r="D3" s="4"/>
      <c r="E3" s="4"/>
    </row>
    <row r="4" spans="1:5" ht="29">
      <c r="A4" s="4" t="s">
        <v>61</v>
      </c>
      <c r="B4" s="8" t="s">
        <v>15</v>
      </c>
      <c r="C4" s="4"/>
      <c r="D4" s="4"/>
      <c r="E4" s="4"/>
    </row>
    <row r="5" spans="1:5">
      <c r="A5" s="4"/>
      <c r="B5" s="8"/>
      <c r="C5" s="4" t="s">
        <v>24</v>
      </c>
      <c r="D5" s="4" t="s">
        <v>28</v>
      </c>
      <c r="E5" s="4"/>
    </row>
    <row r="6" spans="1:5">
      <c r="A6" s="4"/>
      <c r="B6" s="8"/>
      <c r="C6" s="4" t="s">
        <v>25</v>
      </c>
      <c r="D6" s="4" t="s">
        <v>29</v>
      </c>
      <c r="E6" s="4"/>
    </row>
    <row r="7" spans="1:5">
      <c r="A7" s="4"/>
      <c r="B7" s="8"/>
      <c r="C7" s="9" t="s">
        <v>26</v>
      </c>
      <c r="D7" s="4" t="s">
        <v>28</v>
      </c>
      <c r="E7" s="4"/>
    </row>
    <row r="8" spans="1:5">
      <c r="A8" s="4"/>
      <c r="B8" s="8"/>
      <c r="C8" s="9" t="s">
        <v>27</v>
      </c>
      <c r="D8" s="4" t="s">
        <v>28</v>
      </c>
      <c r="E8" s="4"/>
    </row>
    <row r="9" spans="1:5">
      <c r="A9" s="4"/>
      <c r="B9" s="8"/>
      <c r="C9" s="9" t="s">
        <v>30</v>
      </c>
      <c r="D9" s="4" t="s">
        <v>28</v>
      </c>
      <c r="E9" s="4"/>
    </row>
    <row r="10" spans="1:5" ht="29">
      <c r="A10" s="4" t="s">
        <v>62</v>
      </c>
      <c r="B10" s="8" t="s">
        <v>18</v>
      </c>
      <c r="C10" s="4"/>
      <c r="D10" s="4"/>
      <c r="E10" s="4"/>
    </row>
    <row r="11" spans="1:5">
      <c r="A11" s="4"/>
      <c r="B11" s="8"/>
      <c r="C11" s="4" t="s">
        <v>24</v>
      </c>
      <c r="D11" s="4" t="s">
        <v>28</v>
      </c>
      <c r="E11" s="4"/>
    </row>
    <row r="12" spans="1:5">
      <c r="A12" s="4"/>
      <c r="B12" s="8"/>
      <c r="C12" s="4" t="s">
        <v>25</v>
      </c>
      <c r="D12" s="4" t="s">
        <v>29</v>
      </c>
      <c r="E12" s="4"/>
    </row>
    <row r="13" spans="1:5">
      <c r="A13" s="4"/>
      <c r="B13" s="8"/>
      <c r="C13" s="9" t="s">
        <v>26</v>
      </c>
      <c r="D13" s="4" t="s">
        <v>28</v>
      </c>
      <c r="E13" s="4"/>
    </row>
    <row r="14" spans="1:5">
      <c r="A14" s="4"/>
      <c r="B14" s="8"/>
      <c r="C14" s="9" t="s">
        <v>27</v>
      </c>
      <c r="D14" s="4" t="s">
        <v>28</v>
      </c>
      <c r="E14" s="4"/>
    </row>
    <row r="15" spans="1:5">
      <c r="A15" s="4"/>
      <c r="B15" s="8"/>
      <c r="C15" s="9" t="s">
        <v>31</v>
      </c>
      <c r="D15" s="4" t="s">
        <v>28</v>
      </c>
      <c r="E15" s="4"/>
    </row>
    <row r="16" spans="1:5">
      <c r="A16" s="4" t="s">
        <v>63</v>
      </c>
      <c r="B16" s="8" t="s">
        <v>17</v>
      </c>
      <c r="C16" s="4"/>
      <c r="D16" s="4"/>
      <c r="E16" s="4"/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D18" sqref="D18"/>
    </sheetView>
  </sheetViews>
  <sheetFormatPr defaultRowHeight="14.5"/>
  <cols>
    <col min="1" max="1" width="19.54296875" customWidth="1"/>
    <col min="2" max="3" width="18.90625" customWidth="1"/>
    <col min="4" max="4" width="12.90625" customWidth="1"/>
  </cols>
  <sheetData>
    <row r="1" spans="1:4">
      <c r="A1" s="2" t="s">
        <v>33</v>
      </c>
      <c r="B1" s="2" t="s">
        <v>32</v>
      </c>
      <c r="C1" s="3" t="s">
        <v>1</v>
      </c>
      <c r="D1" s="2" t="s">
        <v>7</v>
      </c>
    </row>
    <row r="2" spans="1:4">
      <c r="A2" s="4" t="s">
        <v>11</v>
      </c>
      <c r="B2" s="4" t="s">
        <v>34</v>
      </c>
      <c r="C2" s="4"/>
      <c r="D2" s="4" t="s">
        <v>59</v>
      </c>
    </row>
    <row r="3" spans="1:4">
      <c r="A3" s="7"/>
      <c r="B3" s="7"/>
      <c r="C3" s="7"/>
      <c r="D3" s="7"/>
    </row>
    <row r="4" spans="1:4">
      <c r="B4" s="7"/>
      <c r="C4" s="7"/>
      <c r="D4" s="7"/>
    </row>
    <row r="5" spans="1:4">
      <c r="B5" s="7"/>
      <c r="C5" s="7"/>
      <c r="D5" s="7"/>
    </row>
    <row r="6" spans="1:4">
      <c r="B6" s="7"/>
      <c r="C6" s="7"/>
      <c r="D6" s="7"/>
    </row>
  </sheetData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4.5"/>
  <cols>
    <col min="1" max="1" width="18.453125" customWidth="1"/>
    <col min="2" max="2" width="31.6328125" customWidth="1"/>
  </cols>
  <sheetData>
    <row r="1" spans="1:2">
      <c r="A1" s="2" t="s">
        <v>77</v>
      </c>
      <c r="B1" s="2" t="s">
        <v>79</v>
      </c>
    </row>
    <row r="2" spans="1:2">
      <c r="A2" s="4" t="s">
        <v>78</v>
      </c>
      <c r="B2" s="4" t="s">
        <v>143</v>
      </c>
    </row>
  </sheetData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utility!$E$2:$E$3</xm:f>
          </x14:formula1>
          <xm:sqref>A2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6" sqref="B6"/>
    </sheetView>
  </sheetViews>
  <sheetFormatPr defaultRowHeight="14.5"/>
  <cols>
    <col min="1" max="1" width="22.90625" style="27" customWidth="1"/>
    <col min="2" max="2" width="17.54296875" style="27" customWidth="1"/>
    <col min="3" max="3" width="46.54296875" style="27" customWidth="1"/>
    <col min="4" max="16384" width="8.7265625" style="27"/>
  </cols>
  <sheetData>
    <row r="1" spans="1:3">
      <c r="A1" s="2" t="s">
        <v>81</v>
      </c>
      <c r="B1" s="2" t="s">
        <v>82</v>
      </c>
      <c r="C1" s="26" t="s">
        <v>83</v>
      </c>
    </row>
    <row r="2" spans="1:3">
      <c r="A2" s="27" t="s">
        <v>125</v>
      </c>
      <c r="B2" s="27" t="s">
        <v>90</v>
      </c>
      <c r="C2" s="27" t="s">
        <v>126</v>
      </c>
    </row>
    <row r="3" spans="1:3">
      <c r="A3" s="27" t="s">
        <v>86</v>
      </c>
      <c r="B3" s="27" t="s">
        <v>87</v>
      </c>
      <c r="C3" s="27" t="s">
        <v>88</v>
      </c>
    </row>
    <row r="4" spans="1:3">
      <c r="A4" s="27" t="s">
        <v>84</v>
      </c>
      <c r="B4" s="27" t="s">
        <v>85</v>
      </c>
      <c r="C4" s="27" t="s">
        <v>103</v>
      </c>
    </row>
    <row r="5" spans="1:3">
      <c r="A5" s="28" t="s">
        <v>89</v>
      </c>
      <c r="B5" s="27" t="s">
        <v>90</v>
      </c>
      <c r="C5" s="27" t="s">
        <v>127</v>
      </c>
    </row>
    <row r="6" spans="1:3">
      <c r="A6" s="28" t="s">
        <v>91</v>
      </c>
      <c r="B6" s="27" t="s">
        <v>92</v>
      </c>
      <c r="C6" s="27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F4" sqref="F4"/>
    </sheetView>
  </sheetViews>
  <sheetFormatPr defaultRowHeight="14.5"/>
  <cols>
    <col min="1" max="1" width="11.453125" customWidth="1"/>
    <col min="2" max="2" width="22.81640625" customWidth="1"/>
    <col min="3" max="3" width="16" customWidth="1"/>
    <col min="4" max="4" width="34.08984375" customWidth="1"/>
    <col min="5" max="5" width="28.54296875" customWidth="1"/>
  </cols>
  <sheetData>
    <row r="1" spans="1:6">
      <c r="A1" s="2" t="s">
        <v>96</v>
      </c>
      <c r="B1" s="2" t="s">
        <v>104</v>
      </c>
      <c r="C1" s="2" t="s">
        <v>97</v>
      </c>
      <c r="D1" s="2" t="s">
        <v>98</v>
      </c>
      <c r="E1" s="2" t="s">
        <v>2</v>
      </c>
      <c r="F1" s="2" t="s">
        <v>99</v>
      </c>
    </row>
    <row r="2" spans="1:6">
      <c r="A2" t="s">
        <v>118</v>
      </c>
      <c r="B2" t="s">
        <v>105</v>
      </c>
      <c r="C2" t="s">
        <v>122</v>
      </c>
      <c r="D2" t="s">
        <v>110</v>
      </c>
      <c r="E2" t="s">
        <v>34</v>
      </c>
    </row>
    <row r="3" spans="1:6">
      <c r="A3" t="s">
        <v>118</v>
      </c>
      <c r="B3" t="s">
        <v>106</v>
      </c>
      <c r="C3" t="s">
        <v>122</v>
      </c>
      <c r="D3" t="s">
        <v>111</v>
      </c>
      <c r="E3" t="s">
        <v>34</v>
      </c>
      <c r="F3" t="s">
        <v>109</v>
      </c>
    </row>
    <row r="4" spans="1:6">
      <c r="A4" t="s">
        <v>119</v>
      </c>
      <c r="B4" t="s">
        <v>107</v>
      </c>
      <c r="C4" t="s">
        <v>122</v>
      </c>
      <c r="D4" t="s">
        <v>112</v>
      </c>
      <c r="E4" t="s">
        <v>34</v>
      </c>
    </row>
    <row r="5" spans="1:6">
      <c r="A5" t="s">
        <v>119</v>
      </c>
      <c r="B5" t="s">
        <v>108</v>
      </c>
      <c r="C5" t="s">
        <v>123</v>
      </c>
      <c r="D5" t="s">
        <v>113</v>
      </c>
    </row>
    <row r="6" spans="1:6">
      <c r="A6" t="s">
        <v>118</v>
      </c>
      <c r="B6" t="s">
        <v>128</v>
      </c>
      <c r="C6" t="s">
        <v>124</v>
      </c>
      <c r="D6" t="s">
        <v>129</v>
      </c>
    </row>
    <row r="7" spans="1:6">
      <c r="A7" t="s">
        <v>118</v>
      </c>
      <c r="B7" t="s">
        <v>131</v>
      </c>
      <c r="C7" t="s">
        <v>122</v>
      </c>
      <c r="D7" t="s">
        <v>132</v>
      </c>
      <c r="E7" t="s">
        <v>34</v>
      </c>
    </row>
    <row r="8" spans="1:6">
      <c r="A8" t="s">
        <v>118</v>
      </c>
      <c r="B8" t="s">
        <v>133</v>
      </c>
      <c r="C8" t="s">
        <v>122</v>
      </c>
      <c r="D8" t="s">
        <v>134</v>
      </c>
      <c r="E8" t="s">
        <v>34</v>
      </c>
    </row>
    <row r="9" spans="1:6">
      <c r="A9" t="s">
        <v>118</v>
      </c>
      <c r="B9" t="s">
        <v>135</v>
      </c>
      <c r="C9" t="s">
        <v>122</v>
      </c>
      <c r="D9" t="s">
        <v>137</v>
      </c>
      <c r="E9" t="s">
        <v>34</v>
      </c>
    </row>
    <row r="10" spans="1:6">
      <c r="A10" t="s">
        <v>118</v>
      </c>
      <c r="B10" t="s">
        <v>136</v>
      </c>
      <c r="C10" t="s">
        <v>122</v>
      </c>
      <c r="D10" t="s">
        <v>138</v>
      </c>
      <c r="E10" t="s">
        <v>34</v>
      </c>
    </row>
    <row r="11" spans="1:6">
      <c r="A11" t="s">
        <v>118</v>
      </c>
      <c r="B11" t="s">
        <v>139</v>
      </c>
      <c r="C11" t="s">
        <v>122</v>
      </c>
      <c r="D11" t="s">
        <v>140</v>
      </c>
      <c r="E11" t="s">
        <v>34</v>
      </c>
    </row>
    <row r="12" spans="1:6">
      <c r="A12" t="s">
        <v>118</v>
      </c>
      <c r="B12" t="s">
        <v>141</v>
      </c>
      <c r="C12" t="s">
        <v>122</v>
      </c>
      <c r="D12" t="s">
        <v>142</v>
      </c>
      <c r="E12" t="s">
        <v>34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utility!$C$2:$C$3</xm:f>
          </x14:formula1>
          <xm:sqref>A1:A1048576</xm:sqref>
        </x14:dataValidation>
        <x14:dataValidation type="list" allowBlank="1" showInputMessage="1" showErrorMessage="1">
          <x14:formula1>
            <xm:f>'Source Systems'!$B$2:$B$128</xm:f>
          </x14:formula1>
          <xm:sqref>E1 E172:E1048576</xm:sqref>
        </x14:dataValidation>
        <x14:dataValidation type="list" allowBlank="1" showInputMessage="1" showErrorMessage="1">
          <x14:formula1>
            <xm:f>utility!$A$2:$A$4</xm:f>
          </x14:formula1>
          <xm:sqref>C1:C1048576</xm:sqref>
        </x14:dataValidation>
        <x14:dataValidation type="list" allowBlank="1" showInputMessage="1" showErrorMessage="1">
          <x14:formula1>
            <xm:f>'Source Systems'!$B$2:$B$100</xm:f>
          </x14:formula1>
          <xm:sqref>E2:E171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B4" sqref="B4"/>
    </sheetView>
  </sheetViews>
  <sheetFormatPr defaultRowHeight="14.5"/>
  <cols>
    <col min="1" max="1" width="13.26953125" customWidth="1"/>
    <col min="2" max="2" width="4" customWidth="1"/>
    <col min="3" max="3" width="11.36328125" customWidth="1"/>
    <col min="4" max="4" width="4" customWidth="1"/>
    <col min="5" max="5" width="15.81640625" customWidth="1"/>
    <col min="6" max="6" width="4.1796875" customWidth="1"/>
    <col min="7" max="7" width="14" customWidth="1"/>
  </cols>
  <sheetData>
    <row r="1" spans="1:7">
      <c r="A1" s="41" t="s">
        <v>120</v>
      </c>
      <c r="B1" s="41"/>
      <c r="C1" s="41" t="s">
        <v>100</v>
      </c>
      <c r="D1" s="41"/>
      <c r="E1" s="41" t="s">
        <v>121</v>
      </c>
      <c r="F1" s="41"/>
      <c r="G1" s="41" t="s">
        <v>114</v>
      </c>
    </row>
    <row r="2" spans="1:7">
      <c r="A2" t="s">
        <v>122</v>
      </c>
      <c r="C2" t="s">
        <v>118</v>
      </c>
      <c r="E2" t="s">
        <v>78</v>
      </c>
      <c r="G2" t="s">
        <v>115</v>
      </c>
    </row>
    <row r="3" spans="1:7">
      <c r="A3" t="s">
        <v>123</v>
      </c>
      <c r="C3" t="s">
        <v>119</v>
      </c>
      <c r="E3" t="s">
        <v>101</v>
      </c>
      <c r="G3" t="s">
        <v>116</v>
      </c>
    </row>
    <row r="4" spans="1:7">
      <c r="A4" t="s">
        <v>124</v>
      </c>
      <c r="G4" t="s">
        <v>117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Revision</vt:lpstr>
      <vt:lpstr>Index</vt:lpstr>
      <vt:lpstr>Migration Types</vt:lpstr>
      <vt:lpstr>Source Types</vt:lpstr>
      <vt:lpstr>Source Systems</vt:lpstr>
      <vt:lpstr>Orchestrator</vt:lpstr>
      <vt:lpstr>Variables</vt:lpstr>
      <vt:lpstr>Pre-Post Actions</vt:lpstr>
      <vt:lpstr>utility</vt:lpstr>
    </vt:vector>
  </TitlesOfParts>
  <Company>Netcracker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Pakhomov</dc:creator>
  <cp:lastModifiedBy>Srinivasa Rao Allamsetti</cp:lastModifiedBy>
  <dcterms:created xsi:type="dcterms:W3CDTF">2024-02-14T10:03:23Z</dcterms:created>
  <dcterms:modified xsi:type="dcterms:W3CDTF">2026-02-11T05:04:35Z</dcterms:modified>
</cp:coreProperties>
</file>