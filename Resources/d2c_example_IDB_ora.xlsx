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10" firstSheet="6" activeTab="11"/>
  </bookViews>
  <sheets>
    <sheet name="Revision" sheetId="1" r:id="rId1"/>
    <sheet name="Validation Rules Description" sheetId="3" r:id="rId2"/>
    <sheet name="Config" sheetId="2" r:id="rId3"/>
    <sheet name="IDB_Level1" sheetId="4" r:id="rId4"/>
    <sheet name="IDB_Level2" sheetId="33" r:id="rId5"/>
    <sheet name="IDB_FalloutDictionary" sheetId="25" r:id="rId6"/>
    <sheet name="IDB_PostFallout_Level1" sheetId="27" r:id="rId7"/>
    <sheet name="KPI_BSS_CUSTOMER" sheetId="29" r:id="rId8"/>
    <sheet name="KPI_BSS_INDIVIDUAL" sheetId="31" r:id="rId9"/>
    <sheet name="IDB_PostFallout_Level2" sheetId="28" r:id="rId10"/>
    <sheet name="KPI_REPORT" sheetId="30" r:id="rId11"/>
    <sheet name="KPI_REPORT_2" sheetId="39" r:id="rId12"/>
    <sheet name="IDB_DependenceDictionaryForL0" sheetId="26" r:id="rId13"/>
    <sheet name="IDB_PH1_CIM_CUSTOMER" sheetId="6" r:id="rId14"/>
    <sheet name="IDB_PH1_CIM_INDIVIDUAL" sheetId="7" r:id="rId15"/>
    <sheet name="IDB_PH1_CIM_LANGUAGE_REF" sheetId="8" r:id="rId16"/>
    <sheet name="IDB_PH1_CIM_CONTACT_MED" sheetId="9" r:id="rId17"/>
    <sheet name="IDB_PH1_CIM_CREDIT_PROFILE" sheetId="18" r:id="rId18"/>
    <sheet name="IDB_PH1_CIM_CONTACT_HOURS" sheetId="19" r:id="rId19"/>
    <sheet name="IDB_PH1_CIM_INDIV_NAME" sheetId="20" r:id="rId20"/>
    <sheet name="IDB_PH1_CIM_INDIV_IDENT" sheetId="21" r:id="rId21"/>
    <sheet name="IDB_PH1_CIM_ACCOUNT_REF" sheetId="24" r:id="rId22"/>
    <sheet name="IDB_PH1_CIM_PARTY_ROLE" sheetId="34" r:id="rId23"/>
    <sheet name="IDB_PH1_CIM_PTY_ROLE_ASC" sheetId="32" r:id="rId24"/>
    <sheet name="IDB_PH1_CIM_ATTACHMENT" sheetId="35" r:id="rId25"/>
    <sheet name="IDB_PH1_CIM_AGREEMENT_REF" sheetId="36" r:id="rId26"/>
    <sheet name="IDB_PH1_CIM_NOTE" sheetId="37" r:id="rId27"/>
    <sheet name="IDB_PH1_CIM_CON_MED_ASSOC" sheetId="38" r:id="rId28"/>
  </sheets>
  <definedNames>
    <definedName name="_xlnm._FilterDatabase" localSheetId="12" hidden="1">IDB_DependenceDictionaryForL0!$A$2:$L$3</definedName>
    <definedName name="_xlnm._FilterDatabase" localSheetId="5" hidden="1">IDB_FalloutDictionary!$A$2:$Q$23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39" l="1"/>
  <c r="D1" i="18" l="1"/>
  <c r="C1" i="25" l="1"/>
  <c r="D1" i="37" l="1"/>
  <c r="D1" i="38" l="1"/>
  <c r="D1" i="36"/>
  <c r="D1" i="35"/>
  <c r="A13" i="4"/>
  <c r="A14" i="4"/>
  <c r="A15" i="4"/>
  <c r="A16" i="4"/>
  <c r="D1" i="32" l="1"/>
  <c r="D1" i="34"/>
  <c r="A3" i="33" l="1"/>
  <c r="C1" i="33"/>
  <c r="C8" i="2"/>
  <c r="A12" i="4" l="1"/>
  <c r="D1" i="20"/>
  <c r="D1" i="19"/>
  <c r="J4" i="26"/>
  <c r="K4" i="26"/>
  <c r="J5" i="26"/>
  <c r="K5" i="26"/>
  <c r="J6" i="26"/>
  <c r="K6" i="26"/>
  <c r="J7" i="26"/>
  <c r="K7" i="26"/>
  <c r="J8" i="26"/>
  <c r="K8" i="26"/>
  <c r="D1" i="31" l="1"/>
  <c r="D1" i="29"/>
  <c r="D1" i="30"/>
  <c r="C1" i="28"/>
  <c r="A4" i="27"/>
  <c r="A3" i="27"/>
  <c r="C1" i="27"/>
  <c r="C12" i="2"/>
  <c r="C11" i="2"/>
  <c r="J3" i="26" l="1"/>
  <c r="K3" i="26"/>
  <c r="D1" i="7" l="1"/>
  <c r="C1" i="26" l="1"/>
  <c r="C10" i="2"/>
  <c r="C9" i="2"/>
  <c r="D1" i="21" l="1"/>
  <c r="C7" i="2" l="1"/>
  <c r="D1" i="24" l="1"/>
  <c r="A4" i="4" l="1"/>
  <c r="A5" i="4"/>
  <c r="A6" i="4"/>
  <c r="A7" i="4"/>
  <c r="A8" i="4"/>
  <c r="A9" i="4"/>
  <c r="A10" i="4"/>
  <c r="A11" i="4"/>
  <c r="A3" i="4"/>
  <c r="D1" i="6"/>
  <c r="D1" i="8"/>
  <c r="D1" i="9"/>
  <c r="C1" i="4" l="1"/>
</calcChain>
</file>

<file path=xl/sharedStrings.xml><?xml version="1.0" encoding="utf-8"?>
<sst xmlns="http://schemas.openxmlformats.org/spreadsheetml/2006/main" count="1982" uniqueCount="676">
  <si>
    <t>COLUMN_NAME can be multiple for some types validation rules, multiple COLUMN_NAME divided by coma</t>
  </si>
  <si>
    <t>#</t>
  </si>
  <si>
    <t>Name</t>
  </si>
  <si>
    <t>Type</t>
  </si>
  <si>
    <t>Business Rule short description</t>
  </si>
  <si>
    <t>Multiple COLUMN_NAME</t>
  </si>
  <si>
    <t>Required Columns for Validation Type</t>
  </si>
  <si>
    <t>Comments</t>
  </si>
  <si>
    <t>NOT NULL</t>
  </si>
  <si>
    <t>NNL</t>
  </si>
  <si>
    <t>The value in COLUMN_NAME should be not null</t>
  </si>
  <si>
    <t>Yes</t>
  </si>
  <si>
    <t>UNIQUE</t>
  </si>
  <si>
    <t>UNQ</t>
  </si>
  <si>
    <t>The value in COLUMN_NAME should be unique in TABLE_NAME</t>
  </si>
  <si>
    <t>REFERENCE</t>
  </si>
  <si>
    <t>REF</t>
  </si>
  <si>
    <t>For the value in COLUMN_NAME should be a value in REFERENTIAL_ENTITY.REFERENTIAL_CLAUSE</t>
  </si>
  <si>
    <t>REFERENTIAL_ENTITY and REFERENTIAL_CLAUSE</t>
  </si>
  <si>
    <t>REFERENTIAL_ENTITY should be described in Source Data Structure or Table Set for Transformation, REFERENTIAL_CLAUSE should be described in the corresponding Item</t>
  </si>
  <si>
    <t>CUSTOM REFERENCE</t>
  </si>
  <si>
    <t>CREF</t>
  </si>
  <si>
    <t>REFERENTIAL_ENTITY is custom query: SELECT value as REFERENTIAL_CLAUSE</t>
  </si>
  <si>
    <t>LIKE</t>
  </si>
  <si>
    <t>The COLUMN_NAME value should be like CUSTOM_VALIDATION</t>
  </si>
  <si>
    <t>No</t>
  </si>
  <si>
    <t>CUSTOM_VALIDATION</t>
  </si>
  <si>
    <t>CUSTOM_VALIDATION should contain expression for like</t>
  </si>
  <si>
    <t>REGEXP_LIKE</t>
  </si>
  <si>
    <t>RGXP</t>
  </si>
  <si>
    <t>CUSTOM_VALIDATION should contain expression for regexp_like</t>
  </si>
  <si>
    <t>List Validation</t>
  </si>
  <si>
    <t>LST</t>
  </si>
  <si>
    <t>The COLUMN_NAME value should be in (LIST_VALUES)</t>
  </si>
  <si>
    <t>LIST_VALUES</t>
  </si>
  <si>
    <t>String values in LIST_VALUES divided by dot coma ";"</t>
  </si>
  <si>
    <t>Custom List validation</t>
  </si>
  <si>
    <t>CLST</t>
  </si>
  <si>
    <t>Combination NOT NULL and UNIQUE</t>
  </si>
  <si>
    <t>NNL,UNQ</t>
  </si>
  <si>
    <t>The value in COLUMN_NAME should be not null and unique in TABLE_NAME</t>
  </si>
  <si>
    <t>Combination NOT NULL and REFERENCE or CUSTOM REFERENCE</t>
  </si>
  <si>
    <t>NNL,REF</t>
  </si>
  <si>
    <t>The value in COLUMN_NAME should be not null and should be a value in REFERENTIAL_ENTITY.REFERENTIAL_CLAUSE</t>
  </si>
  <si>
    <t>a)REFERENTIAL_ENTITY should be described in Source Data Structure or Table Set for Transformation, REFERENTIAL_CLAUSE should be described in the corresponding Item
b)REFERENTIAL_ENTITY is custom query: SELECT value as REFERENTIAL_CLAUSE</t>
  </si>
  <si>
    <t>Combination NOT NULL and LIKE or REGEXP_LIKE</t>
  </si>
  <si>
    <t>NNL,LIKE</t>
  </si>
  <si>
    <t>The value in COLUMN_NAME should be not null and value should be like CUSTOM_VALIDATION</t>
  </si>
  <si>
    <t>Combination NOT NULL and List Validation or Custom List Validation</t>
  </si>
  <si>
    <t>NNL,LST</t>
  </si>
  <si>
    <t>The value in COLUMN_NAME should be not null and value should be in (LIST_VALUES)</t>
  </si>
  <si>
    <t>a) String values in LIST_VALUES divided by dot coma ";"
b) LIST_VALUES is custom query: SELECT value FROM DICTIONARY_TABLE</t>
  </si>
  <si>
    <t>Custom validations, where condition</t>
  </si>
  <si>
    <t>CST</t>
  </si>
  <si>
    <t>One or several conditions in SQL logic format describe in CUSTOM_VALIDATION</t>
  </si>
  <si>
    <t>Combination of any from NNL, UNQ, REF, CREF, LST, CLST and Custom validation</t>
  </si>
  <si>
    <t>any from NNL, UNQ, REF, CREF, LST, CLST</t>
  </si>
  <si>
    <t>as in NNL, UNQ, REF, CREF, LST, CLST type</t>
  </si>
  <si>
    <t>CUSTOM_VALIDATION and Required columns for basic type</t>
  </si>
  <si>
    <t>One or several conditions in SQL logic format describe in CUSTOM_VALIDATION and basic type</t>
  </si>
  <si>
    <t>Custom validation, QUERY</t>
  </si>
  <si>
    <t>CUSTOM_VALIDATION is custom query: SELECT row_id, wrong_values, source_descriptor, row_num FROM …</t>
  </si>
  <si>
    <r>
      <t xml:space="preserve">For all validation rules columns SOURCE_DESCRIPTOR, TABLE_NAME, COLUMN_NAME, VAL_ID, VALIDATION_NAME, MAJORITY, VALIDATION_TYPE, BUSINESS_RULE are </t>
    </r>
    <r>
      <rPr>
        <sz val="11"/>
        <color rgb="FFFF0000"/>
        <rFont val="Calibri"/>
        <family val="2"/>
        <scheme val="minor"/>
      </rPr>
      <t>REQUIRED</t>
    </r>
  </si>
  <si>
    <t>Version</t>
  </si>
  <si>
    <t>Date</t>
  </si>
  <si>
    <t>Author</t>
  </si>
  <si>
    <t>Description of Change</t>
  </si>
  <si>
    <t>Internal Tickets</t>
  </si>
  <si>
    <t>Sprint</t>
  </si>
  <si>
    <t>0.1</t>
  </si>
  <si>
    <t>Draft</t>
  </si>
  <si>
    <t>NA</t>
  </si>
  <si>
    <t>Sprint 1</t>
  </si>
  <si>
    <t>Sequence</t>
  </si>
  <si>
    <t>Sheet Name</t>
  </si>
  <si>
    <t>Hyperlink to Sheet</t>
  </si>
  <si>
    <t>Sheet Type</t>
  </si>
  <si>
    <t>Description</t>
  </si>
  <si>
    <t>IDB_Level1</t>
  </si>
  <si>
    <t>Table Set for Transformation</t>
  </si>
  <si>
    <t>Intermediate Data Base</t>
  </si>
  <si>
    <t>IDB_FalloutDictionary</t>
  </si>
  <si>
    <t>Validation Rules</t>
  </si>
  <si>
    <t>Basic Fallout Dictionary for Intermediate Data Base</t>
  </si>
  <si>
    <t>USE</t>
  </si>
  <si>
    <t>YES</t>
  </si>
  <si>
    <t>Hyperlink to sheet</t>
  </si>
  <si>
    <t>DOMAIN</t>
  </si>
  <si>
    <t>CIM</t>
  </si>
  <si>
    <t>IDB_PH1_CIM_CUSTOMER</t>
  </si>
  <si>
    <t>IDB_PH1_CIM_INDIVIDUAL</t>
  </si>
  <si>
    <t>IDB_PH1_CIM_LANGUAGE_REF</t>
  </si>
  <si>
    <t>Table</t>
  </si>
  <si>
    <t>Domain</t>
  </si>
  <si>
    <t>Mandatory</t>
  </si>
  <si>
    <t>Physical organization</t>
  </si>
  <si>
    <t>Entity name</t>
  </si>
  <si>
    <t>Source Descriptor</t>
  </si>
  <si>
    <t>SOURCE_ID</t>
  </si>
  <si>
    <t>Primary Key</t>
  </si>
  <si>
    <t>Generate PK</t>
  </si>
  <si>
    <t>Transformation rules</t>
  </si>
  <si>
    <t>Synonym</t>
  </si>
  <si>
    <t>Entity Key</t>
  </si>
  <si>
    <t>CUSTOMER:IDB_CUSTOMER_ID</t>
  </si>
  <si>
    <t>REF_ID</t>
  </si>
  <si>
    <t>Table that holds the information about language details.</t>
  </si>
  <si>
    <t>COLUMN_NAME</t>
  </si>
  <si>
    <t>FIELD_DESCRIPTION</t>
  </si>
  <si>
    <t>DATATYPE</t>
  </si>
  <si>
    <t>TRANSFORMATION</t>
  </si>
  <si>
    <t>Primary Key ID. Additional migration attribute. ID in source system.</t>
  </si>
  <si>
    <t>VARCHAR2(4000)</t>
  </si>
  <si>
    <t>NAME</t>
  </si>
  <si>
    <t>Customer Name</t>
  </si>
  <si>
    <t>CUSTOMER_CATEGORY_ID</t>
  </si>
  <si>
    <t>Business;
Residential;
Employee;
VIP</t>
  </si>
  <si>
    <t>ENGAGED_PARTY_ID</t>
  </si>
  <si>
    <t>Unique identifier of a Party on the basis of which the Customer was created</t>
  </si>
  <si>
    <t>ENGAGED_PARTY_REF_TYPE</t>
  </si>
  <si>
    <t>Engaged Party type. Value : Individual, Organization</t>
  </si>
  <si>
    <t>'Individual'; 'Organization'</t>
  </si>
  <si>
    <t>STATUS</t>
  </si>
  <si>
    <t>Used to track the lifecycle status of the Customer</t>
  </si>
  <si>
    <t xml:space="preserve">Prospect
Activation Pending 
Active 
Former </t>
  </si>
  <si>
    <t>STATUS_REASON</t>
  </si>
  <si>
    <t>Used for explanation on the value of the status lifecycle</t>
  </si>
  <si>
    <t>NULL</t>
  </si>
  <si>
    <t>EXTERNAL_ID</t>
  </si>
  <si>
    <t>External Id of the Customer</t>
  </si>
  <si>
    <t>VALID_FROM</t>
  </si>
  <si>
    <t>Record valid from</t>
  </si>
  <si>
    <t>TIMESTAMP(6)</t>
  </si>
  <si>
    <t>SOURCE_TIMESTAMP</t>
  </si>
  <si>
    <t>SYSDATE</t>
  </si>
  <si>
    <t>BRAND_ID</t>
  </si>
  <si>
    <t>Id of the brand</t>
  </si>
  <si>
    <t>'YouSee'</t>
  </si>
  <si>
    <t>CUSTOMER_NUMBER</t>
  </si>
  <si>
    <t>Human-readable identifier of the customer</t>
  </si>
  <si>
    <t>CUSTOMER_SINCE</t>
  </si>
  <si>
    <t>Date of creation of the customer</t>
  </si>
  <si>
    <t>BUSINESS_ENTITY_TYPE</t>
  </si>
  <si>
    <t>Additional migration attribute. Constant = Customer</t>
  </si>
  <si>
    <t>'Customer'</t>
  </si>
  <si>
    <t>SOURCE_ENGAGED_PARTY_ID</t>
  </si>
  <si>
    <t>Id of Engaged Party in source system.</t>
  </si>
  <si>
    <t>MARKET_SEGMENT</t>
  </si>
  <si>
    <t>The market segment this customer belongs to.</t>
  </si>
  <si>
    <t>VAT_REGISTRATION</t>
  </si>
  <si>
    <t>VAT registration of the customer. Must be set if this customer has any products registered to a contracted point of supply that requires a vat registration to be captured.</t>
  </si>
  <si>
    <t>LEGACY_CUSTOMER_NR</t>
  </si>
  <si>
    <t>Internal : Legacy customer number</t>
  </si>
  <si>
    <t>BILLING_SYNCHRONIZATION_STATUS</t>
  </si>
  <si>
    <t>Status of synchronization with RBM.
Enum: Synchronized; NotSynchronized (default)</t>
  </si>
  <si>
    <t>'Synchronized'</t>
  </si>
  <si>
    <t>CUSTOMER_PERMISSION</t>
  </si>
  <si>
    <t>Customer Persmission for Billing data synchronization with NRM</t>
  </si>
  <si>
    <t>CUSTOMER_TYPE</t>
  </si>
  <si>
    <t>Customer type for Billing data synchronization with NRM</t>
  </si>
  <si>
    <t>INVOICING_COMPANY</t>
  </si>
  <si>
    <t>Invoicing Company for Billing data synchronization with NRM</t>
  </si>
  <si>
    <t>EXTENDED_ATTRIBUTES</t>
  </si>
  <si>
    <t>Extended parameters</t>
  </si>
  <si>
    <t>TO_BE_MIGRATED</t>
  </si>
  <si>
    <t>Flag shows whether customer needs to be migrated or not as per Merge solution</t>
  </si>
  <si>
    <t>CHAR(1)</t>
  </si>
  <si>
    <t>MIG_CUSTOMER_ID</t>
  </si>
  <si>
    <t>Internal: This column store NC Customer UUID (in case of already present customer) or SOURCE_ID in case of customer to be migrated.</t>
  </si>
  <si>
    <t>RANDOM_HASH</t>
  </si>
  <si>
    <t>A random hash used to partition the work of batch processes to enable effective multi processing.</t>
  </si>
  <si>
    <t>NUMBER(6)</t>
  </si>
  <si>
    <t>DOMAIN_ID</t>
  </si>
  <si>
    <t>Specifies which domain the customer belongs to.</t>
  </si>
  <si>
    <t>NUMBER(9)</t>
  </si>
  <si>
    <t>INVOICING_CO_ID</t>
  </si>
  <si>
    <t>The ID of the invoicing company this customer belongs to.</t>
  </si>
  <si>
    <t>Primary Key ID</t>
  </si>
  <si>
    <t>VARCHAR2(255)</t>
  </si>
  <si>
    <t>Status of the Individual. For Migration it will be always Validated.</t>
  </si>
  <si>
    <t>BIRTH_DATE</t>
  </si>
  <si>
    <t>Birth date</t>
  </si>
  <si>
    <t>GENDER</t>
  </si>
  <si>
    <t>TO_BE_DEFINED</t>
  </si>
  <si>
    <t>Female;
Male;
Unknown;
Not Applicable;</t>
  </si>
  <si>
    <t>LOCATION</t>
  </si>
  <si>
    <t>Temporary current location of the individual (may be used if the individual has approved its sharing)</t>
  </si>
  <si>
    <t>Additional migration attribute. Current snapshot's timestamp in source system</t>
  </si>
  <si>
    <t>Additional migration attribute. Constant = Individual</t>
  </si>
  <si>
    <t>'Individual'</t>
  </si>
  <si>
    <t>ACTIVE_FROM</t>
  </si>
  <si>
    <t>Date on which Individual got activated</t>
  </si>
  <si>
    <t>IS_CUSTOMER_OLD</t>
  </si>
  <si>
    <t>Flag to indicate if the individual is having party role as 'Customer'
Internal. Party role of individual to be used in IDB_PH1_CIM_PARTY_ROLE transformation.</t>
  </si>
  <si>
    <t>VARCHAR2(8)</t>
  </si>
  <si>
    <t>CI.IS_CUSTOMER</t>
  </si>
  <si>
    <t>IS_BILL_RECEIVER</t>
  </si>
  <si>
    <t>Flag to indicate if the individual is having party role as 'Bill Receiver'
Internal. Party role of individual to be used in IDB_PH1_CIM_PARTY_ROLE transformation.</t>
  </si>
  <si>
    <t>CI.IS_BILL_RECEIVER</t>
  </si>
  <si>
    <t>IS_USER</t>
  </si>
  <si>
    <t>Flag to indicate if the individual is having party role as 'User'
Internal. Party role of individual to be used in IDB_PH1_CIM_PARTY_ROLE transformation.</t>
  </si>
  <si>
    <t>CI.IS_USER</t>
  </si>
  <si>
    <t>IDB_CUSTOMER_ID</t>
  </si>
  <si>
    <t>Internal : Technical Field for dependency validations</t>
  </si>
  <si>
    <t>MIG_INDIVIDUAL_ID</t>
  </si>
  <si>
    <t>Internal: This column store NC Individual UUID (in case of already present individual) or SOURCE_ID in case of Individual to be migrated.</t>
  </si>
  <si>
    <t>Unique identifier of the related entity</t>
  </si>
  <si>
    <t>REF_TYPE</t>
  </si>
  <si>
    <t xml:space="preserve">Type of the related entity, E.g.:
Individual;Organization.
</t>
  </si>
  <si>
    <t>ISO_CODE</t>
  </si>
  <si>
    <t>Language code in ISO format</t>
  </si>
  <si>
    <t>ROLE</t>
  </si>
  <si>
    <t>Date and time of creation of the record</t>
  </si>
  <si>
    <t>CI.TO_BE_MIGRATED</t>
  </si>
  <si>
    <t>Type of the related entity, E.g.:
Individual; Organization</t>
  </si>
  <si>
    <t>IS_ACTIVE</t>
  </si>
  <si>
    <t>Shows that contact is active
Default = TRUE</t>
  </si>
  <si>
    <t>TYPE_OF_CONTACT_METHOD</t>
  </si>
  <si>
    <t>Type of the contact method, such as: Email address, Telephone number, Postal address</t>
  </si>
  <si>
    <t>TYPE_OF_CONTACT</t>
  </si>
  <si>
    <r>
      <t>Type of contact(</t>
    </r>
    <r>
      <rPr>
        <strike/>
        <sz val="10"/>
        <rFont val="Calibri"/>
        <family val="2"/>
      </rPr>
      <t xml:space="preserve">home, work, </t>
    </r>
    <r>
      <rPr>
        <sz val="10"/>
        <rFont val="Calibri"/>
        <family val="2"/>
      </rPr>
      <t>'Home', 'Business', 'Delivery' etc.)</t>
    </r>
  </si>
  <si>
    <t>'Home'</t>
  </si>
  <si>
    <t>PREFERRED_CONTACT</t>
  </si>
  <si>
    <t>If true, indicates that is the preferred Contact Medium</t>
  </si>
  <si>
    <t>PREFERRED_NOTIFICATION</t>
  </si>
  <si>
    <t>If true, indicates that Contact Medium is preferred as notification</t>
  </si>
  <si>
    <t>CITY</t>
  </si>
  <si>
    <t>City</t>
  </si>
  <si>
    <t>COUNTRY</t>
  </si>
  <si>
    <t>County</t>
  </si>
  <si>
    <t>EMAIL_ADDRESS</t>
  </si>
  <si>
    <t>Email Address</t>
  </si>
  <si>
    <t>PHONE_EXT_NUMBER</t>
  </si>
  <si>
    <t>Phone extension</t>
  </si>
  <si>
    <t>POSTCODE</t>
  </si>
  <si>
    <t>The postcode</t>
  </si>
  <si>
    <t>STATE_OR_PROVINCE</t>
  </si>
  <si>
    <t>State or province</t>
  </si>
  <si>
    <t>'None'</t>
  </si>
  <si>
    <t>STREET1</t>
  </si>
  <si>
    <t>Describes the street</t>
  </si>
  <si>
    <t>STREET2</t>
  </si>
  <si>
    <t>Complementary street description</t>
  </si>
  <si>
    <t>FAX_NUMBER</t>
  </si>
  <si>
    <t>Fax number</t>
  </si>
  <si>
    <t>Contact Medium valid from date.</t>
  </si>
  <si>
    <t>VALID_TO</t>
  </si>
  <si>
    <t>Contact Medium valid to date.</t>
  </si>
  <si>
    <t xml:space="preserve">Additional attributes related to Contact Medium. </t>
  </si>
  <si>
    <t>PHONE_NUMBER</t>
  </si>
  <si>
    <t>The primary phone number</t>
  </si>
  <si>
    <t>SELECT #FIELDS_LIST#
FROM  CT_SDB_PH1_PERSONAL_DETAILS pd</t>
  </si>
  <si>
    <t>pd.CUSTOMER_SOURCE_ID</t>
  </si>
  <si>
    <t>pd.NAME</t>
  </si>
  <si>
    <t>'Residential'</t>
  </si>
  <si>
    <t>pd.CUSTOMER_NR</t>
  </si>
  <si>
    <t>NUMBER</t>
  </si>
  <si>
    <t>'Y'</t>
  </si>
  <si>
    <t>round(dbms_random.value(1,999999))</t>
  </si>
  <si>
    <t xml:space="preserve">round(dbms_random.value(1,999999999)) </t>
  </si>
  <si>
    <t>NO</t>
  </si>
  <si>
    <t>ID</t>
  </si>
  <si>
    <t>'ENG'</t>
  </si>
  <si>
    <t>pd.BIRTHDAY</t>
  </si>
  <si>
    <t>'Validated'</t>
  </si>
  <si>
    <t>pd.LOCATION</t>
  </si>
  <si>
    <t>Table that holds the information about customer entity associated with Party(Individual).</t>
  </si>
  <si>
    <t>IDB_PH1_CIM_CREDIT_PROFILE</t>
  </si>
  <si>
    <t>IDB_PH1_CIM_CONTACT_HOURS</t>
  </si>
  <si>
    <t>IDB_PH1_CIM_ACCOUNT_REF</t>
  </si>
  <si>
    <t>DDL extension</t>
  </si>
  <si>
    <t>The table stores information about Contact Medium association (to be able to link Contact Medium stored on Individual\Organization with their Customer\PartyRoles where party acts as engaged party).</t>
  </si>
  <si>
    <t>CONTACT_MEDIUM_ID</t>
  </si>
  <si>
    <t>Foreign key from IDB_PH1_CIM_CONTACT_MEDIUM</t>
  </si>
  <si>
    <t>DAY_OF_WEEK</t>
  </si>
  <si>
    <t>VARCHAR2(50)</t>
  </si>
  <si>
    <t>START_TIME</t>
  </si>
  <si>
    <t>'10:00'</t>
  </si>
  <si>
    <t>END_TIME</t>
  </si>
  <si>
    <t>Time until which you can contact the customer</t>
  </si>
  <si>
    <t>'Telephone number'</t>
  </si>
  <si>
    <t>pd.CITY</t>
  </si>
  <si>
    <t>pd.COUNTRY</t>
  </si>
  <si>
    <t>pd.EMAIL_ADDRESS</t>
  </si>
  <si>
    <t>'111222333'</t>
  </si>
  <si>
    <t>pd.STREET</t>
  </si>
  <si>
    <t>pd.PHONE_NR</t>
  </si>
  <si>
    <t>'18:00'</t>
  </si>
  <si>
    <t>INDIVIDUAL_ID,GIVEN_NAME,FAMILY_NAME</t>
  </si>
  <si>
    <t>INDIVIDUAL_ID</t>
  </si>
  <si>
    <t>GIVEN_NAME</t>
  </si>
  <si>
    <t>First name</t>
  </si>
  <si>
    <t>FAMILY_NAME</t>
  </si>
  <si>
    <t>Last name</t>
  </si>
  <si>
    <t>ARISTOCRATIC_TITLE</t>
  </si>
  <si>
    <t>A name that describes someone's aristocratic position, such as Baron, Graf, Earl, and so forth</t>
  </si>
  <si>
    <t>FAMILY_GENERATION</t>
  </si>
  <si>
    <t>An abbreviation or word that pertains to the generation in a family, such Sr, Jr</t>
  </si>
  <si>
    <t>FAMILY_NAME_PREFIX</t>
  </si>
  <si>
    <t>Notes: e.g. Van den, Von etc.</t>
  </si>
  <si>
    <t>FORM_OF_ADDRESS</t>
  </si>
  <si>
    <t>Contains the Salutation,e.g. Mr., Mrs., Hon., Dr.,Major, etc. Note: Also known as person title Also includes. Miss, Ms</t>
  </si>
  <si>
    <t>FORMATTED_NAME</t>
  </si>
  <si>
    <t>A formatted name useful for specific contexts (Chinese, Japanese, Korean, …)</t>
  </si>
  <si>
    <t>GENERATION</t>
  </si>
  <si>
    <t>An abbreviation or word that pertains to the generation in a family history, such as Sr., Jr., III (the third), and so forth</t>
  </si>
  <si>
    <t>MIDDLE_NAME</t>
  </si>
  <si>
    <t>Middle name(s) or initial(s) Note: Multiple fields may be entered with a delimiter in-between or stored in a collection</t>
  </si>
  <si>
    <t>LEGAL_NAME</t>
  </si>
  <si>
    <t>Contains, in one string, a fully formatted name with all of its pieces in their proper place. This includes all of the necessary punctuation Note: if NULL, then derive from the other fields using name policy</t>
  </si>
  <si>
    <t>PREFERRED_GIVEN_NAME</t>
  </si>
  <si>
    <t>Contains the chosen name by which the person prefers to be addressed. Note: This name may be a name other than a given name, such as a nickname</t>
  </si>
  <si>
    <t>QUALIFICATIONS</t>
  </si>
  <si>
    <t>Contains the letters used to describe academic or other type qualifications held by a person and/or the distinctions conferred upon them. e.g. PhD, MD, CPA, MCSD, etc. Note: also known as orders, decorations, honors, awards and distinctions</t>
  </si>
  <si>
    <t>Table that holds the information about  Individual's name Transformations</t>
  </si>
  <si>
    <t>pd.LAST_NAME</t>
  </si>
  <si>
    <t>INDIVIDUAL_ID,IDENTIFICATION_NUMBER</t>
  </si>
  <si>
    <t>INDIVIDUAL_ID, IDENTIFICATION_TYPE, IDENTIFICATION_NUMBER</t>
  </si>
  <si>
    <t>Primary Key ID. Unique identifier of the record</t>
  </si>
  <si>
    <t>IDENTIFICATION_TYPE</t>
  </si>
  <si>
    <t>Identification type (passport, national identity card, driver’s license, social security number, birth certificate)</t>
  </si>
  <si>
    <t>IDENTIFICATION_NUMBER</t>
  </si>
  <si>
    <t>Unique identifier for the Identification</t>
  </si>
  <si>
    <t>ISSUE_DATE</t>
  </si>
  <si>
    <t>The date when Individual Identification was produced / printed</t>
  </si>
  <si>
    <t>ISSUING_AUTHORITY</t>
  </si>
  <si>
    <t xml:space="preserve"> Authority which has issued the identifier (chamber of commerce…)</t>
  </si>
  <si>
    <t>Identification vaild from date</t>
  </si>
  <si>
    <t>Identification vaild to date</t>
  </si>
  <si>
    <t>DESCRIPTION</t>
  </si>
  <si>
    <t>Description of Individual Identification</t>
  </si>
  <si>
    <t xml:space="preserve">Table that holds the information about Individual's identification. </t>
  </si>
  <si>
    <t>'Passport'</t>
  </si>
  <si>
    <t>ACCOUNT_ID</t>
  </si>
  <si>
    <t>Id of the account</t>
  </si>
  <si>
    <t>Reference to the customer number.</t>
  </si>
  <si>
    <t>REFERRED_ACCOUNT_TYPE</t>
  </si>
  <si>
    <t>Account type</t>
  </si>
  <si>
    <t>Screen name of the account</t>
  </si>
  <si>
    <t>'Account Name '||PA.SOURCE_ID</t>
  </si>
  <si>
    <t>HREF</t>
  </si>
  <si>
    <t>Reference to the AccountRef</t>
  </si>
  <si>
    <t>Description of Accout</t>
  </si>
  <si>
    <t>Date and time when AccountRef was created</t>
  </si>
  <si>
    <t>CUST_NAME</t>
  </si>
  <si>
    <t>Name of the Customer</t>
  </si>
  <si>
    <t>Table that holds the information about customer account reference.</t>
  </si>
  <si>
    <t>RAW(16)</t>
  </si>
  <si>
    <t>pd.CUSTOMER_SOURCE_ID||'#'||rownum</t>
  </si>
  <si>
    <t>'Monday'</t>
  </si>
  <si>
    <t>Time from which you can contact the customer</t>
  </si>
  <si>
    <t>Day of week when you can contact the customer</t>
  </si>
  <si>
    <t>Record valid to</t>
  </si>
  <si>
    <t>NATIONALITY</t>
  </si>
  <si>
    <t>MARITAL_STATUS</t>
  </si>
  <si>
    <t>PLACE_OF_BIRTH</t>
  </si>
  <si>
    <t>COUNTRY_OF_BIRTH</t>
  </si>
  <si>
    <t>Nationality</t>
  </si>
  <si>
    <t>Marital Status</t>
  </si>
  <si>
    <t>Place Of Birth</t>
  </si>
  <si>
    <t>Country Of Birth</t>
  </si>
  <si>
    <t>Role</t>
  </si>
  <si>
    <t>NUMBER(1,0)</t>
  </si>
  <si>
    <t>pd.NAME ||' '|| pd.LAST_NAME</t>
  </si>
  <si>
    <t>Prefix for reports</t>
  </si>
  <si>
    <t>IDB</t>
  </si>
  <si>
    <t>Source Tables</t>
  </si>
  <si>
    <t>CT_SDB_PH1_PERSONAL_DETAILS</t>
  </si>
  <si>
    <t>IDB_PH1_CIM_INDIV_IDENT</t>
  </si>
  <si>
    <t>Source timestamp</t>
  </si>
  <si>
    <t>TABLE_NAME</t>
  </si>
  <si>
    <t>VAL_ID</t>
  </si>
  <si>
    <t>VALIDATION_NAME</t>
  </si>
  <si>
    <t>MAJORITY</t>
  </si>
  <si>
    <t>VALIDATION_TYPE</t>
  </si>
  <si>
    <t>BUSINESS_RULE</t>
  </si>
  <si>
    <t>COMMENTS</t>
  </si>
  <si>
    <t>NOT</t>
  </si>
  <si>
    <t>REFERENTIAL_ENTITY</t>
  </si>
  <si>
    <t>REFERENTIAL_CLAUSE</t>
  </si>
  <si>
    <t>SPRINT_NUMBER</t>
  </si>
  <si>
    <t>CONSISTENCY_CHECK</t>
  </si>
  <si>
    <t>F_IDB_0004</t>
  </si>
  <si>
    <t>Major</t>
  </si>
  <si>
    <t>1</t>
  </si>
  <si>
    <t/>
  </si>
  <si>
    <t>F_IDB_0001</t>
  </si>
  <si>
    <t>IDB_PH1_CIM_CUSTOMER_SOURCE_ID_NNL_UNQ</t>
  </si>
  <si>
    <t>IDB_PH1_CIM_CUSTOMER.SOURCE_ID should not be null and must be unique.</t>
  </si>
  <si>
    <t>SELECT #FIELDS_LIST#
FROM CT_SDB_PH1_PERSONAL_DETAILS pd</t>
  </si>
  <si>
    <t>SELECT #FIELDS_LIST# FROM CT_SDB_PH1_PERSONAL_DETAILS pd</t>
  </si>
  <si>
    <r>
      <t xml:space="preserve">SELECT  #FIELDS_LIST#  
FROM CT_SDB_PH1_PERSONAL_DETAILS pd
</t>
    </r>
    <r>
      <rPr>
        <b/>
        <sz val="10"/>
        <color indexed="8"/>
        <rFont val="Calibri"/>
        <family val="2"/>
      </rPr>
      <t/>
    </r>
  </si>
  <si>
    <t>Unique identifier of the Customer category. 
"id": "8bf02549-6fda-48b8-950d-32fadd4a8140",
"name": "B2C Client"</t>
  </si>
  <si>
    <t>'8bf02549-6fda-48b8-950d-32fadd4a8140'</t>
  </si>
  <si>
    <t>F_IDB_0002</t>
  </si>
  <si>
    <t>F_IDB_0003</t>
  </si>
  <si>
    <t>F_IDB_0005</t>
  </si>
  <si>
    <t>F_IDB_0006</t>
  </si>
  <si>
    <t>F_IDB_0007</t>
  </si>
  <si>
    <t>F_IDB_0008</t>
  </si>
  <si>
    <t>F_IDB_0009</t>
  </si>
  <si>
    <t>F_IDB_0010</t>
  </si>
  <si>
    <t>F_IDB_0011</t>
  </si>
  <si>
    <t>IDB_PH1_CIM_CUSTOMER_NAME_NNL</t>
  </si>
  <si>
    <t>IDB_PH1_CIM_CUSTOMER.NAME should not be null.</t>
  </si>
  <si>
    <t>IDB_PH1_CIM_INDIVIDUAL_SOURCE_ID_NNL_REF</t>
  </si>
  <si>
    <t>IDB_PH1_CIM_INDIVIDUAL.SOURCE_ID should not be null and should have reference to IDB_PH1_CIM_CUSTOMER.SOURCE_ID.</t>
  </si>
  <si>
    <t>IDB_PH1_CIM_CUSTOMER_STATUS_CST</t>
  </si>
  <si>
    <t>IDB_PH1_CIM_CUSTOMER.STATUS should be "Active" only.</t>
  </si>
  <si>
    <t>Use condition:
nvl(IDB_PH1_CIM_CUSTOMER.STATUS, 'X') &lt;&gt; 'Active'</t>
  </si>
  <si>
    <t>NVL(IDB_PH1_CIM_CUSTOMER.STATUS, 'X') &lt;&gt; 'Active'</t>
  </si>
  <si>
    <t>IDB_PH1_CIM_LANGUAGE_REF_REF_ID_REF</t>
  </si>
  <si>
    <t>IDB_PH1_CIM_LANGUAGE_REF_ISO_CODE_NNL</t>
  </si>
  <si>
    <t>IDB_PH1_CIM_LANGUAGE_REF.REF_ID should have reference to IDB_PH1_CIM_INDIVIDUAL.SOURCE_ID.</t>
  </si>
  <si>
    <t>IDB_PH1_CIM_LANGUAGE_REF.ISO_CODE should not be NULL.</t>
  </si>
  <si>
    <t>Individual; Organization</t>
  </si>
  <si>
    <t>IDB_PH1_CIM_CONTACT_HOURS_DAY_OF_WEEK_LST</t>
  </si>
  <si>
    <t>IDB_PH1_CIM_CONTACT_HOURS.DAY_OF_WEEK should have valid value from list.</t>
  </si>
  <si>
    <t>Monday;Tuesday;Wednesday;Thursday;
Friday.</t>
  </si>
  <si>
    <t>Monday;Tuesday;Wednesday;Thursday;Friday</t>
  </si>
  <si>
    <t>Individual;Organization</t>
  </si>
  <si>
    <t>IDB_PH1_CIM_INDIV_IDENT_IDENTIFICATION_TYPE_NNL</t>
  </si>
  <si>
    <t>IDB_PH1_CIM_INDIV_IDENT.IDENTIFICATION_TYPE should not be NULL</t>
  </si>
  <si>
    <t>CUSTOMER:SOURCE_ID</t>
  </si>
  <si>
    <t>IDB_PH1_CIM_INDIV_NAME</t>
  </si>
  <si>
    <t>IDB_DependenceDictionaryForL0</t>
  </si>
  <si>
    <t>Dependency Validation Rules</t>
  </si>
  <si>
    <t xml:space="preserve">Dependency Fallout Dictionary by IDB </t>
  </si>
  <si>
    <t>REF0_IDB_001</t>
  </si>
  <si>
    <t>PARALLEL</t>
  </si>
  <si>
    <t>CLEAR_DATA</t>
  </si>
  <si>
    <t>MAJOR_FALLOUT</t>
  </si>
  <si>
    <t>IDB_PH1_CIM_INDIV_NAME_GIVEN_NAME_NNL</t>
  </si>
  <si>
    <t>IDB_PH1_CIM_INDIV_NAME_FAMILY_NAME_NNL</t>
  </si>
  <si>
    <t>IDB_PH1_CIM_INDIV_NAME.GIVEN_NAME should not be NULL.</t>
  </si>
  <si>
    <t>IDB_PH1_CIM_INDIV_NAME.FAMILY_NAME should not be NULL.</t>
  </si>
  <si>
    <t>IDB_PH1_CIM_CONTACT_MED</t>
  </si>
  <si>
    <t>IDB_PH1_CIM_CONTACT_MED_REF_TYPE_NNL_LST</t>
  </si>
  <si>
    <t>IDB_PH1_CIM_CONTACT_MED.REF_TYPE should not be null and should have valid value from list.</t>
  </si>
  <si>
    <t>IDB_PostFallout_Level1</t>
  </si>
  <si>
    <t>Table Set for after transformation use</t>
  </si>
  <si>
    <t>IDB_PostFallout_Level2</t>
  </si>
  <si>
    <t>KPI_BSS_CUSTOMER</t>
  </si>
  <si>
    <t>BSS</t>
  </si>
  <si>
    <t>KPI_BSS_INDIVIDUAL</t>
  </si>
  <si>
    <t>KPI_REPORT</t>
  </si>
  <si>
    <t>domain,be_entity</t>
  </si>
  <si>
    <t>Post transformation</t>
  </si>
  <si>
    <t>alter table KPI_REPORT add (per_cent number(10,2) generated always as (case when nvl(idb_count,0)=0 then 0 else ROUND(  ((target_count/idb_count)*100),6) end) VIRTUAL)</t>
  </si>
  <si>
    <t>domain</t>
  </si>
  <si>
    <t>domain like CIM,IBS,OSS, NRM</t>
  </si>
  <si>
    <t>be_entity</t>
  </si>
  <si>
    <t>entity_type will be used to map with target be_type later in the nifi</t>
  </si>
  <si>
    <t>be_entity_desc</t>
  </si>
  <si>
    <t>reportable descriptino of the be_type</t>
  </si>
  <si>
    <t>legacy_count</t>
  </si>
  <si>
    <t>kpi</t>
  </si>
  <si>
    <t>number</t>
  </si>
  <si>
    <t>sdb_count</t>
  </si>
  <si>
    <t>idb_count</t>
  </si>
  <si>
    <t>valid_idb_count</t>
  </si>
  <si>
    <t>target_count</t>
  </si>
  <si>
    <t>cast (null as number)</t>
  </si>
  <si>
    <t>select #FIELDS_LIST# FROM (select * from KPI_BSS_CUSTOMER
union all
select * from KPI_BSS_INDIVIDUAL)</t>
  </si>
  <si>
    <t>domain like CIM,IBS,OSS</t>
  </si>
  <si>
    <t>(select count(*) from IDB_PH1_CIM_CUSTOMER)</t>
  </si>
  <si>
    <t>(select count(*) from CT_IDB_PH1_CIM_CUSTOMER)</t>
  </si>
  <si>
    <t>select #FIELDS_LIST# FROM
(
select 'CIM' as domain, 
       'Customer' as be_entity,
       'Customer' as be_entity_desc
from dual
)</t>
  </si>
  <si>
    <t>(select count(*) from SDB_PH1_PERSONAL_DETAILS)</t>
  </si>
  <si>
    <t>(select count(*) from IDB_PH1_CIM_INDIVIDUAL)</t>
  </si>
  <si>
    <t>(SELECT count(*) FROM CT_IDB_PH1_CIM_INDIVIDUAL)</t>
  </si>
  <si>
    <t>KPI_BSS_CUSTOMER,KPI_BSS_INDIVIDUAL</t>
  </si>
  <si>
    <t>SDB_PH1_PERSONAL_DETAILS,IDB_PH1_CIM_CUSTOMER,CT_IDB_PH1_CIM_CUSTOMER</t>
  </si>
  <si>
    <t>SDB_PH1_PERSONAL_DETAILS,IDB_PH1_CIM_INDIVIDUAL,CT_IDB_PH1_CIM_INDIVIDUAL</t>
  </si>
  <si>
    <t>Dependancy validation. IDB_PH1_CIM_CUSTOMER row invalidated by reference to IDB_PH1_CIM_INDIVIDUAL</t>
  </si>
  <si>
    <t>DEP_IDB_PH1_CIM_CUSTOMER_IDB_PH1_CIM_INDIVIDUAL</t>
  </si>
  <si>
    <t>select #FIELDS_LIST# FROM
(
select 'CIM' as domain, 
       'Individual' as be_entity,
       'Individual' as be_entity_desc
from dual
)</t>
  </si>
  <si>
    <t>pd.STATUS</t>
  </si>
  <si>
    <t>REF0_IDB_002</t>
  </si>
  <si>
    <t>REF0_IDB_003</t>
  </si>
  <si>
    <t>REF0_IDB_004</t>
  </si>
  <si>
    <t>REF0_IDB_005</t>
  </si>
  <si>
    <t>REF0_IDB_006</t>
  </si>
  <si>
    <t>DEP_IDB_PH1_CIM_INDIVIDUAL_IDB_PH1_CIM_CUSTOMER</t>
  </si>
  <si>
    <t>Dependancy validation. IDB_PH1_CIM_INDIVIDUAL row invalidated by reference to IDB_PH1_CIM_CUSTOMER</t>
  </si>
  <si>
    <t>DEP_IDB_PH1_CIM_CUSTOMER_IDB_PH1_CIM_CONTACT_MED</t>
  </si>
  <si>
    <t>DEP_IDB_PH1_CIM_CONTACT_MED_IDB_PH1_CIM_CUSTOMER</t>
  </si>
  <si>
    <t>Dependancy validation. IDB_PH1_CIM_CUSTOMER row invalidated by reference to IDB_PH1_CIM_CONTACT_MED</t>
  </si>
  <si>
    <t>Dependancy validation. IDB_PH1_CIM_CONTACT_MED row invalidated by reference to IDB_PH1_CIM_CUSTOMER</t>
  </si>
  <si>
    <t>DEP_IDB_PH1_CIM_INDIV_NAME_IDB_PH1_CIM_INDIV_IDENT</t>
  </si>
  <si>
    <t>DEP_IDB_PH1_CIM_INDIV_IDENT_IDB_PH1_CIM_INDIV_NAME</t>
  </si>
  <si>
    <t>Dependancy validation. IDB_PH1_CIM_INDIV_NAME row invalidated by reference to IDB_PH1_CIM_INDIV_IDENT</t>
  </si>
  <si>
    <t>Dependancy validation. IDB_PH1_CIM_INDIV_IDENT row invalidated by reference to IDB_PH1_CIM_INDIV_NAME</t>
  </si>
  <si>
    <t>Table that holds the information about customer credit profile details.</t>
  </si>
  <si>
    <t>Primary key</t>
  </si>
  <si>
    <t>ID_FROM</t>
  </si>
  <si>
    <t>Unique identifier of the entity from which the association began</t>
  </si>
  <si>
    <t>REF_TYPE_FROM</t>
  </si>
  <si>
    <t>Type of the entity from which the association began. E.g.: Customer, Party Role</t>
  </si>
  <si>
    <t>'PartyRole'</t>
  </si>
  <si>
    <t>ID_TO</t>
  </si>
  <si>
    <t>Unique identifier of the entity to which the association leads</t>
  </si>
  <si>
    <t>REF_TYPE_TO</t>
  </si>
  <si>
    <t>Type of the entity to which the association leads. E.g.: Customer, PartyRole, Individual, Organization</t>
  </si>
  <si>
    <t>ASSOCIATION_NAME</t>
  </si>
  <si>
    <t>Name of the association</t>
  </si>
  <si>
    <t>ASSOCIATION_ROLE</t>
  </si>
  <si>
    <t>Role of the association</t>
  </si>
  <si>
    <t>Date and time of creation of the record; Auto-generated</t>
  </si>
  <si>
    <t>SOURCE_ID_TO</t>
  </si>
  <si>
    <t>Migration attribute</t>
  </si>
  <si>
    <t>CU.SOURCE_ID</t>
  </si>
  <si>
    <t>PR.IDB_CUSTOMER_ID</t>
  </si>
  <si>
    <t>IDB_PH1_CIM_PTY_ROLE_ASC</t>
  </si>
  <si>
    <t>'Organization'</t>
  </si>
  <si>
    <t>'CEO'</t>
  </si>
  <si>
    <t>IDB_PH1_CIM_PARTY_ROLE</t>
  </si>
  <si>
    <t>IDB_Level2</t>
  </si>
  <si>
    <t>IND.source_id</t>
  </si>
  <si>
    <t>END_DATE_TIME</t>
  </si>
  <si>
    <t>End of the period the Party Role is available/valid</t>
  </si>
  <si>
    <t>ENGAGED_PARTY_DESCRIPTION</t>
  </si>
  <si>
    <t>Description of a Party on the basis of which the Party Role was created</t>
  </si>
  <si>
    <t>Unique identifier of a Party on the basis of which the Party Role was created</t>
  </si>
  <si>
    <t>ENGAGED_PARTY_NAME</t>
  </si>
  <si>
    <t>Name of a Party on the basis of which the Party Role was created</t>
  </si>
  <si>
    <t>IND.ENGAGED_PARTY_NAME</t>
  </si>
  <si>
    <t>IND.SOURCE_ENGAGED_PARTY_ID</t>
  </si>
  <si>
    <t>Type of a Party on the basis of which the Party Role was created. E.g. Individual, Organization</t>
  </si>
  <si>
    <t>Map to capture additional attributes of Billing Account.</t>
  </si>
  <si>
    <t>Party Role name</t>
  </si>
  <si>
    <t>OLA_REF</t>
  </si>
  <si>
    <t>OLA reference.
{"id":"String","name":"String"}</t>
  </si>
  <si>
    <t>CLOB</t>
  </si>
  <si>
    <t>empty_clob()</t>
  </si>
  <si>
    <t>PARTY_ROLE_TYPE</t>
  </si>
  <si>
    <t>Party Role type</t>
  </si>
  <si>
    <t>Customer Representative; Bill Receiver;User;Ticket Requester;Family member;Payer;Legal Guardian; Legal Owner</t>
  </si>
  <si>
    <t>START_DATE_TIME</t>
  </si>
  <si>
    <t>Start of the period the Party Role is available/valid</t>
  </si>
  <si>
    <t>Party Role status</t>
  </si>
  <si>
    <t>Timestamp when record is being migrated.</t>
  </si>
  <si>
    <t>IND.IDB_CUSTOMER_ID</t>
  </si>
  <si>
    <t>IND.TO_BE_MIGRATED</t>
  </si>
  <si>
    <t>MIG_PARTY_ROLE_ID</t>
  </si>
  <si>
    <t>Internal: This column store NC Party Role UUID (in case of already present party role) or SOURCE_ID in case of party role to be migrated.</t>
  </si>
  <si>
    <t xml:space="preserve">The table stores information about Party Role. Represents roles played by the party. </t>
  </si>
  <si>
    <t>VARCHAR2(100)</t>
  </si>
  <si>
    <t>'User'</t>
  </si>
  <si>
    <t>IDB_PH1_CIM_INDIVIDUAL,IDB_PH1_CIM_CUSTOMER,IDB_PH1_CIM_PARTY_ROLE</t>
  </si>
  <si>
    <t>ci.SOURCE_ID</t>
  </si>
  <si>
    <t>SELECT #FIELDS_LIST#
FROM IDB_PH1_CIM_INDIVIDUAL CI,
     IDB_PH1_CIM_CUSTOMER CU,
  IDB_PH1_CIM_PARTY_ROLE PR
WHERE  CI.SOURCE_ID = CU.SOURCE_ID
  AND PR.ENGAGED_PARTY_ID = CI.SOURCE_ID</t>
  </si>
  <si>
    <t>'CEO of Organization'</t>
  </si>
  <si>
    <t>IDB_CIM_CUSTOMER</t>
  </si>
  <si>
    <t>IDB_CIM_INDIVIDUAL</t>
  </si>
  <si>
    <t>IDB_LANGUAGE_REF</t>
  </si>
  <si>
    <t>IDB_CIM_CONTACT_MEDIUM</t>
  </si>
  <si>
    <t>IDB_CIM_CONTACT_HOURS</t>
  </si>
  <si>
    <t>IDB_CIM_INDIVIDUAL_NAME</t>
  </si>
  <si>
    <t>IDB_CIM_INDIVIDUAL_IDENT</t>
  </si>
  <si>
    <t>IDB_CIM_ACCOUNT_REF</t>
  </si>
  <si>
    <t>IDB_CIM_PARTY_ROLE</t>
  </si>
  <si>
    <t>IDB_CIM_PARTY_ROLE_ASSOCIATION</t>
  </si>
  <si>
    <t>Reference type</t>
  </si>
  <si>
    <t>IDB_CIM_CREDIT_PROFILE</t>
  </si>
  <si>
    <t>IDB_CIM_AGREEMENT_REF</t>
  </si>
  <si>
    <t>IDB_CIM_NOTE</t>
  </si>
  <si>
    <t>IDB_CIM_ATTACHMENT</t>
  </si>
  <si>
    <t>IDB_CIM_CON_MEDIUM_ASSOCIATION</t>
  </si>
  <si>
    <t>IDB_PH1_CIM_ATTACHMENT</t>
  </si>
  <si>
    <t>IDB_PH1_CIM_AGREEMENT_REF</t>
  </si>
  <si>
    <t>IDB_PH1_CIM_NOTE</t>
  </si>
  <si>
    <t>IDB_PH1_CIM_CON_MED_ASSOC</t>
  </si>
  <si>
    <t>SELECT #FIELDS_LIST#
FROM dual WHERE 1&lt;&gt;1</t>
  </si>
  <si>
    <t>CUSTOMER_ID</t>
  </si>
  <si>
    <t>Unique identifier of the Customer</t>
  </si>
  <si>
    <t>CREDIT_PROFILE_DATE</t>
  </si>
  <si>
    <t>The date and time the profile was established</t>
  </si>
  <si>
    <t>CREDIT_SCORE</t>
  </si>
  <si>
    <t>A measure of a person's or an organization's creditworthiness calculated on the basis of a combination of factors such as their income and credit history</t>
  </si>
  <si>
    <t>CREDIT_RISK_RATING</t>
  </si>
  <si>
    <t>This is an integer whose value is used to rate the risk</t>
  </si>
  <si>
    <t>Valid From</t>
  </si>
  <si>
    <t>Valid To</t>
  </si>
  <si>
    <t>Date of creation of the current record</t>
  </si>
  <si>
    <t>SELECT #FIELDS_LIST#
FROM dual
WHERE 1&lt;&gt;1</t>
  </si>
  <si>
    <t>NUMBER(10,0)</t>
  </si>
  <si>
    <t>decode(pd.GENDER, 'M', 'Male', 'F', 'Female', null)</t>
  </si>
  <si>
    <t>Table that holds the information about attachments.</t>
  </si>
  <si>
    <t>URL</t>
  </si>
  <si>
    <t>TYPE</t>
  </si>
  <si>
    <t>MIME_TYPE</t>
  </si>
  <si>
    <t>SIZE_UNIT</t>
  </si>
  <si>
    <t>Reference ID</t>
  </si>
  <si>
    <t>Href</t>
  </si>
  <si>
    <t>Mime-type</t>
  </si>
  <si>
    <t>Size</t>
  </si>
  <si>
    <t>Size-Unit</t>
  </si>
  <si>
    <t>Valid from</t>
  </si>
  <si>
    <t>Valid to</t>
  </si>
  <si>
    <t>Table that holds the information about agreements.</t>
  </si>
  <si>
    <t>AGREEMENT_ID</t>
  </si>
  <si>
    <t>REFERRED_AGREEMENT_TYPE</t>
  </si>
  <si>
    <t>Agreement id</t>
  </si>
  <si>
    <t>Reference id</t>
  </si>
  <si>
    <t>Referred Agreement type</t>
  </si>
  <si>
    <t>Type of the related entity, E.g.:
Customer;
Party Role;
Individual;
Organization.</t>
  </si>
  <si>
    <t>TEXT</t>
  </si>
  <si>
    <t>Note text</t>
  </si>
  <si>
    <t>AUTHOR</t>
  </si>
  <si>
    <t>Who wrote/added the note</t>
  </si>
  <si>
    <t>DATE_</t>
  </si>
  <si>
    <t>Date and time of the note</t>
  </si>
  <si>
    <t>Table that holds the information about customer's Contact Medium.</t>
  </si>
  <si>
    <t>Table that holds the information about contact medium association details.</t>
  </si>
  <si>
    <t>SIZE_</t>
  </si>
  <si>
    <t>IDB_PH1_CIM_CUSTOMER_CUSTOMER_CATEGORY_ID_NNL</t>
  </si>
  <si>
    <t>IDB_PH1_CIM_CUSTOMER.CUSTOMER_CATEGORY_ID should not be null.</t>
  </si>
  <si>
    <t>IDB_PH1_CIM_CUSTOMER_ENGAGED_PARTY_ID_NNL_REF</t>
  </si>
  <si>
    <t>IDB_PH1_CIM_CUSTOMER.ENGAGED_PARTY_ID should not be null and should have valid reference to IDB_PH1_CIM_INDIVIDUAL.SOURCE_ID.</t>
  </si>
  <si>
    <t>IDB_PH1_CIM_CUSTOMER_ENGAGED_PARTY_REF_TYPE_NNL</t>
  </si>
  <si>
    <t>NNL,CLST</t>
  </si>
  <si>
    <t>IDB_PH1_CIM_CUSTOMER.ENGAGED_PARTY_REF_TYPE should not be null and should have valid value from list.</t>
  </si>
  <si>
    <t>Select bss_value from DICT_IDB_PH1_CIM_PARTY_REF_TYPE</t>
  </si>
  <si>
    <t>1,3</t>
  </si>
  <si>
    <t>IDB_PH1_CIM_INDIVIDUAL_SOURCE_ID_NNL_UNQ</t>
  </si>
  <si>
    <t>IDB_PH1_CIM_INDIVIDUAL.SOURCE_ID should not be null and must be unique.</t>
  </si>
  <si>
    <t>F_IDB_0018</t>
  </si>
  <si>
    <t>IDB_PH1_CIM_INDIVIDUAL_BIRTH_DATE_CST</t>
  </si>
  <si>
    <t>Person's birthday (party birthday) should not be in future.</t>
  </si>
  <si>
    <t>22/11 : To be revisited with FT.
Date should be in MM/DD/YYYY format</t>
  </si>
  <si>
    <t>trunc(birth_date)&gt;trunc(sysdate)</t>
  </si>
  <si>
    <t>IDB_PH1_CIM_CUSTOMER_SOURCE_ID_ACTIVE_PRODUCT_CST</t>
  </si>
  <si>
    <t>Active customer should have at least one CPI residing in Active state.</t>
  </si>
  <si>
    <t>select source_id from IDB_PH1_CIM_CUSTOMER where source_id not in (select customer_id from IDB_PH1_IBS_PRODUCT_INSTANCE).
This will be finalized and implemented in Sprint3 after IDB_PH1_IBS_PRODUCT_INSTANCE design is ready</t>
  </si>
  <si>
    <t>SELECT cus.ROWID AS ROW_ID, 
       TO_CHAR(cus.SOURCE_ID) AS WRONG_VALUE, 
       TO_CHAR(cus.SOURCE_ID) AS SOURCE_DESCRIPTOR, 
       ROWNUM AS ROW_NUM
  from IDB_PH1_CIM_CUSTOMER cus
  left 
  join IDB_PH1_IBS_PRODUCT_INSTANCE prod
    on prod.customer_id = cus.source_id
   and upper(prod.state) = 'ACTIVE'
 where upper(cus.status) = 'ACTIVE'
   and prod.source_id is null</t>
  </si>
  <si>
    <t>3</t>
  </si>
  <si>
    <t>IDB_PH1_CIM_INDIVIDUAL_SOURCE_ID_CST</t>
  </si>
  <si>
    <t>IDB_PH1_CIM_INDIVIDUAL.SOURCE_ID should have 1 or more reference in IDB_PH1_CIM_PARTY_ROLE.ENGAGED_PARTY_ID.</t>
  </si>
  <si>
    <t>not  exists (select 1 from  IDB_PH1_CIM_PARTY_ROLE a where a.engaged_party_id = IDB_PH1_CIM_INDIVIDUAL.SOURCE_ID)</t>
  </si>
  <si>
    <t>IDB_PH1_CIM_CUSTOMER_SOURCE_ID_CST</t>
  </si>
  <si>
    <t>IDB_PH1_CIM_CUSTOMER.SOURCE_ID should have at least one IDB_PH1_CIM_PARTY_ROLE with PARTY_ROLE_TYPE = 'Bill Receiver'.</t>
  </si>
  <si>
    <t>not exists (select 1 from IDB_PH1_CIM_PARTY_ROLE a where a.engaged_party_id  = IDB_PH1_CIM_CUSTOMER.Engaged_Party_Id and a.party_role_type='Bill Receiver')</t>
  </si>
  <si>
    <t>F_IDB_0012</t>
  </si>
  <si>
    <t>F_IDB_0013</t>
  </si>
  <si>
    <t>F_IDB_0014</t>
  </si>
  <si>
    <t>F_IDB_0015</t>
  </si>
  <si>
    <t>F_IDB_0019</t>
  </si>
  <si>
    <t>F_IDB_0020</t>
  </si>
  <si>
    <t>F_IDB_0023</t>
  </si>
  <si>
    <t>F_IDB_0024</t>
  </si>
  <si>
    <t>F_IDB_0025</t>
  </si>
  <si>
    <t>Female;
Male;
Unknown;
Not Applicable</t>
  </si>
  <si>
    <t>IDB_PH1_CIM_INDIVIDUAL_GENDER_NNL_LST</t>
  </si>
  <si>
    <t>IDB_PH1_CIM_INDIVIDUAL.GENDER should not be null and should have valid value from list.</t>
  </si>
  <si>
    <t>DDL extention</t>
  </si>
  <si>
    <t>tablespace USERS</t>
  </si>
  <si>
    <t>Entity</t>
  </si>
  <si>
    <t>VALIDATE</t>
  </si>
  <si>
    <t>INDIVIDUAL:IDB_PH1_CIM_INDIVIDUAL</t>
  </si>
  <si>
    <t>CUSTOMER:IDB_PH1_CIM_CUSTOMER</t>
  </si>
  <si>
    <t>INDIVIDUAL:INDIVIDUAL_ID</t>
  </si>
  <si>
    <t>CONTACT:IDB_PH1_CIM_CONTACT_MED</t>
  </si>
  <si>
    <t>INDIVIDUAL:SOURCE_ID</t>
  </si>
  <si>
    <t>CONTACT:SOURCE_ID,IDB_CUSTOMER_ID</t>
  </si>
  <si>
    <t>Liza</t>
  </si>
  <si>
    <t>Add colors to columns names</t>
  </si>
  <si>
    <t>CLOUDMT-768</t>
  </si>
  <si>
    <t>0.2</t>
  </si>
  <si>
    <t>alter table KPI_REPORT add (per_cent2 number(10,2) generated always as (case when nvl(idb_count,0)=0 then 0 else ROUND(  ((target_count/idb_count)*100),6) end) VIRTUAL)</t>
  </si>
  <si>
    <t>alter table KPI_REPORT add (per_cent3 number(10,2) generated always as (case when nvl(idb_count,0)=0 then 0 else ROUND(  ((target_count/idb_count)*100),6) end) VIRTUAL)</t>
  </si>
  <si>
    <t>KPI_REPORT_2</t>
  </si>
  <si>
    <t>alter table KPI_REPORT2 add (per_cent number(10,2) generated always as (case when nvl(idb_count,0)=0 then 0 else ROUND(  ((target_count/idb_count)*100),6) end) VIRTUAL)</t>
  </si>
  <si>
    <t>KPI_REPORT2</t>
  </si>
  <si>
    <t>alter table KPI_REPORT2 add (per_cent2 number(10,2) generated always as (case when nvl(idb_count,0)=0 then 0 else ROUND(  ((target_count/idb_count)*100),6) end) VIRTUAL)</t>
  </si>
  <si>
    <t>alter table KPI_REPORT2 add (per_cent3 number(10,2) generated always as (case when nvl(idb_count,0)=0 then 0 else ROUND(  ((target_count/idb_count)*100),6) end) VIRTUAL)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</si>
</sst>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/mmm/yy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trike/>
      <sz val="10"/>
      <name val="Calibri"/>
      <family val="2"/>
    </font>
    <font>
      <sz val="10"/>
      <color theme="1"/>
      <name val="Calibri"/>
      <family val="2"/>
    </font>
    <font>
      <sz val="10"/>
      <color indexed="8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0"/>
      <color theme="0"/>
      <name val="Calibri"/>
      <family val="2"/>
    </font>
    <font>
      <sz val="10"/>
      <color theme="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164" fontId="1" fillId="0" borderId="0"/>
    <xf numFmtId="0" fontId="11" fillId="0" borderId="0" applyNumberFormat="0" applyFill="0" applyBorder="0" applyAlignment="0" applyProtection="0"/>
    <xf numFmtId="164" fontId="14" fillId="0" borderId="0"/>
    <xf numFmtId="164" fontId="14" fillId="0" borderId="0"/>
    <xf numFmtId="164" fontId="14" fillId="0" borderId="0"/>
    <xf numFmtId="0" fontId="21" fillId="7" borderId="14" applyNumberFormat="0" applyAlignment="0" applyProtection="0"/>
    <xf numFmtId="43" fontId="1" fillId="0" borderId="0" applyFont="0" applyFill="0" applyBorder="0" applyAlignment="0" applyProtection="0"/>
  </cellStyleXfs>
  <cellXfs count="23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3" fillId="0" borderId="6" xfId="0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9" xfId="0" applyBorder="1"/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1" fillId="0" borderId="6" xfId="4" applyBorder="1"/>
    <xf numFmtId="0" fontId="0" fillId="0" borderId="6" xfId="0" applyBorder="1" applyAlignment="1">
      <alignment horizontal="center"/>
    </xf>
    <xf numFmtId="0" fontId="11" fillId="0" borderId="0" xfId="4"/>
    <xf numFmtId="0" fontId="12" fillId="4" borderId="11" xfId="0" applyFont="1" applyFill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2" fillId="4" borderId="6" xfId="0" applyFont="1" applyFill="1" applyBorder="1" applyAlignment="1">
      <alignment wrapText="1"/>
    </xf>
    <xf numFmtId="0" fontId="10" fillId="0" borderId="6" xfId="0" applyFont="1" applyBorder="1" applyAlignment="1">
      <alignment vertical="center"/>
    </xf>
    <xf numFmtId="0" fontId="13" fillId="4" borderId="6" xfId="0" applyFont="1" applyFill="1" applyBorder="1" applyAlignment="1">
      <alignment wrapText="1"/>
    </xf>
    <xf numFmtId="164" fontId="13" fillId="0" borderId="6" xfId="6" applyFont="1" applyBorder="1" applyAlignment="1">
      <alignment horizontal="left" vertical="center" wrapText="1"/>
    </xf>
    <xf numFmtId="164" fontId="11" fillId="0" borderId="0" xfId="4" applyNumberFormat="1"/>
    <xf numFmtId="0" fontId="13" fillId="6" borderId="6" xfId="0" applyFont="1" applyFill="1" applyBorder="1" applyAlignment="1">
      <alignment vertical="center" wrapText="1"/>
    </xf>
    <xf numFmtId="164" fontId="13" fillId="0" borderId="6" xfId="6" applyFont="1" applyBorder="1" applyAlignment="1">
      <alignment vertical="center" wrapText="1"/>
    </xf>
    <xf numFmtId="0" fontId="15" fillId="6" borderId="6" xfId="0" applyFont="1" applyFill="1" applyBorder="1" applyAlignment="1">
      <alignment vertical="center" wrapText="1"/>
    </xf>
    <xf numFmtId="0" fontId="10" fillId="0" borderId="0" xfId="0" applyFont="1"/>
    <xf numFmtId="164" fontId="11" fillId="0" borderId="0" xfId="4" applyNumberFormat="1" applyAlignment="1">
      <alignment vertical="center"/>
    </xf>
    <xf numFmtId="0" fontId="10" fillId="0" borderId="0" xfId="0" applyFont="1" applyAlignment="1">
      <alignment vertical="center"/>
    </xf>
    <xf numFmtId="164" fontId="16" fillId="0" borderId="6" xfId="1" applyNumberFormat="1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3" fillId="0" borderId="6" xfId="0" quotePrefix="1" applyFont="1" applyBorder="1" applyAlignment="1">
      <alignment vertical="center" wrapText="1"/>
    </xf>
    <xf numFmtId="0" fontId="16" fillId="0" borderId="6" xfId="1" applyFont="1" applyFill="1" applyBorder="1" applyAlignment="1">
      <alignment vertical="center" wrapText="1"/>
    </xf>
    <xf numFmtId="0" fontId="17" fillId="0" borderId="6" xfId="0" quotePrefix="1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0" fillId="0" borderId="6" xfId="0" quotePrefix="1" applyBorder="1" applyAlignment="1">
      <alignment vertical="center"/>
    </xf>
    <xf numFmtId="0" fontId="0" fillId="0" borderId="6" xfId="0" applyBorder="1" applyAlignment="1">
      <alignment vertical="center"/>
    </xf>
    <xf numFmtId="0" fontId="16" fillId="0" borderId="6" xfId="1" quotePrefix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6" xfId="1" quotePrefix="1" applyFont="1" applyFill="1" applyBorder="1" applyAlignment="1">
      <alignment vertical="center" wrapText="1"/>
    </xf>
    <xf numFmtId="0" fontId="10" fillId="0" borderId="6" xfId="0" quotePrefix="1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/>
    </xf>
    <xf numFmtId="0" fontId="9" fillId="0" borderId="6" xfId="0" quotePrefix="1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9" fillId="0" borderId="6" xfId="1" quotePrefix="1" applyFont="1" applyFill="1" applyBorder="1" applyAlignment="1">
      <alignment vertical="center"/>
    </xf>
    <xf numFmtId="0" fontId="13" fillId="0" borderId="11" xfId="0" applyFont="1" applyBorder="1" applyAlignment="1">
      <alignment wrapText="1"/>
    </xf>
    <xf numFmtId="0" fontId="13" fillId="5" borderId="6" xfId="0" applyFont="1" applyFill="1" applyBorder="1" applyAlignment="1">
      <alignment vertical="center" wrapText="1"/>
    </xf>
    <xf numFmtId="0" fontId="0" fillId="0" borderId="6" xfId="0" quotePrefix="1" applyBorder="1" applyAlignment="1">
      <alignment wrapText="1"/>
    </xf>
    <xf numFmtId="0" fontId="16" fillId="5" borderId="6" xfId="1" quotePrefix="1" applyFont="1" applyFill="1" applyBorder="1" applyAlignment="1">
      <alignment wrapText="1"/>
    </xf>
    <xf numFmtId="0" fontId="15" fillId="0" borderId="6" xfId="0" applyFont="1" applyBorder="1" applyAlignment="1">
      <alignment vertical="center" wrapText="1"/>
    </xf>
    <xf numFmtId="0" fontId="15" fillId="0" borderId="6" xfId="0" applyFont="1" applyBorder="1" applyAlignment="1">
      <alignment wrapText="1"/>
    </xf>
    <xf numFmtId="49" fontId="17" fillId="0" borderId="6" xfId="6" applyNumberFormat="1" applyFont="1" applyBorder="1" applyAlignment="1">
      <alignment horizontal="left" vertical="top" wrapText="1"/>
    </xf>
    <xf numFmtId="0" fontId="16" fillId="0" borderId="6" xfId="1" applyFont="1" applyFill="1" applyBorder="1" applyAlignment="1">
      <alignment vertical="center"/>
    </xf>
    <xf numFmtId="0" fontId="16" fillId="0" borderId="6" xfId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6" fillId="0" borderId="6" xfId="1" quotePrefix="1" applyFont="1" applyFill="1" applyBorder="1" applyAlignment="1">
      <alignment horizontal="left" vertical="center" wrapText="1"/>
    </xf>
    <xf numFmtId="0" fontId="0" fillId="0" borderId="6" xfId="1" quotePrefix="1" applyFont="1" applyFill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" fillId="0" borderId="6" xfId="1" quotePrefix="1" applyFont="1" applyFill="1" applyBorder="1" applyAlignment="1">
      <alignment vertical="center" wrapText="1"/>
    </xf>
    <xf numFmtId="0" fontId="11" fillId="0" borderId="0" xfId="4" applyBorder="1"/>
    <xf numFmtId="164" fontId="13" fillId="0" borderId="6" xfId="6" applyFont="1" applyBorder="1" applyAlignment="1">
      <alignment wrapText="1"/>
    </xf>
    <xf numFmtId="0" fontId="16" fillId="5" borderId="6" xfId="1" applyFont="1" applyFill="1" applyBorder="1" applyAlignment="1">
      <alignment wrapText="1"/>
    </xf>
    <xf numFmtId="164" fontId="13" fillId="0" borderId="6" xfId="6" applyFont="1" applyBorder="1" applyAlignment="1">
      <alignment horizontal="left" wrapText="1"/>
    </xf>
    <xf numFmtId="0" fontId="13" fillId="0" borderId="6" xfId="0" quotePrefix="1" applyFont="1" applyBorder="1" applyAlignment="1">
      <alignment horizontal="left" vertical="center" wrapText="1"/>
    </xf>
    <xf numFmtId="0" fontId="16" fillId="0" borderId="6" xfId="1" quotePrefix="1" applyFont="1" applyFill="1" applyBorder="1" applyAlignment="1">
      <alignment vertical="center"/>
    </xf>
    <xf numFmtId="164" fontId="13" fillId="0" borderId="6" xfId="6" quotePrefix="1" applyFont="1" applyBorder="1" applyAlignment="1">
      <alignment wrapText="1"/>
    </xf>
    <xf numFmtId="164" fontId="16" fillId="0" borderId="6" xfId="1" applyNumberFormat="1" applyFont="1" applyFill="1" applyBorder="1" applyAlignment="1">
      <alignment vertical="center" wrapText="1"/>
    </xf>
    <xf numFmtId="0" fontId="16" fillId="5" borderId="6" xfId="1" quotePrefix="1" applyFont="1" applyFill="1" applyBorder="1" applyAlignment="1">
      <alignment vertical="center" wrapText="1"/>
    </xf>
    <xf numFmtId="0" fontId="16" fillId="5" borderId="0" xfId="1" applyFont="1" applyFill="1" applyAlignment="1">
      <alignment vertical="center"/>
    </xf>
    <xf numFmtId="0" fontId="16" fillId="5" borderId="6" xfId="1" applyFont="1" applyFill="1" applyBorder="1" applyAlignment="1">
      <alignment vertical="center"/>
    </xf>
    <xf numFmtId="0" fontId="16" fillId="0" borderId="6" xfId="1" applyFont="1" applyFill="1" applyBorder="1" applyAlignment="1">
      <alignment wrapText="1"/>
    </xf>
    <xf numFmtId="0" fontId="16" fillId="5" borderId="6" xfId="0" applyFont="1" applyFill="1" applyBorder="1"/>
    <xf numFmtId="0" fontId="16" fillId="5" borderId="6" xfId="1" applyFont="1" applyFill="1" applyBorder="1"/>
    <xf numFmtId="49" fontId="17" fillId="0" borderId="6" xfId="6" applyNumberFormat="1" applyFont="1" applyBorder="1" applyAlignment="1">
      <alignment horizontal="left" wrapText="1"/>
    </xf>
    <xf numFmtId="0" fontId="19" fillId="0" borderId="6" xfId="0" applyFont="1" applyBorder="1" applyAlignment="1">
      <alignment vertical="center" wrapText="1"/>
    </xf>
    <xf numFmtId="0" fontId="17" fillId="0" borderId="6" xfId="0" applyFont="1" applyBorder="1" applyAlignment="1">
      <alignment wrapText="1"/>
    </xf>
    <xf numFmtId="0" fontId="16" fillId="0" borderId="6" xfId="0" quotePrefix="1" applyFont="1" applyBorder="1" applyAlignment="1">
      <alignment wrapText="1"/>
    </xf>
    <xf numFmtId="0" fontId="16" fillId="0" borderId="6" xfId="1" quotePrefix="1" applyFont="1" applyFill="1" applyBorder="1" applyAlignment="1">
      <alignment wrapText="1"/>
    </xf>
    <xf numFmtId="0" fontId="1" fillId="0" borderId="6" xfId="1" applyFont="1" applyFill="1" applyBorder="1"/>
    <xf numFmtId="49" fontId="17" fillId="0" borderId="6" xfId="5" applyNumberFormat="1" applyFont="1" applyBorder="1" applyAlignment="1">
      <alignment horizontal="left" vertical="center" wrapText="1"/>
    </xf>
    <xf numFmtId="49" fontId="17" fillId="0" borderId="6" xfId="5" applyNumberFormat="1" applyFont="1" applyBorder="1" applyAlignment="1">
      <alignment horizontal="left" vertical="center" wrapText="1" indent="1"/>
    </xf>
    <xf numFmtId="49" fontId="17" fillId="0" borderId="6" xfId="6" applyNumberFormat="1" applyFont="1" applyBorder="1" applyAlignment="1">
      <alignment horizontal="left" vertical="center" wrapText="1"/>
    </xf>
    <xf numFmtId="164" fontId="0" fillId="0" borderId="6" xfId="1" applyNumberFormat="1" applyFont="1" applyFill="1" applyBorder="1" applyAlignment="1">
      <alignment horizontal="left" vertical="center" wrapText="1"/>
    </xf>
    <xf numFmtId="0" fontId="1" fillId="0" borderId="6" xfId="1" applyFont="1" applyFill="1" applyBorder="1" applyAlignment="1">
      <alignment wrapText="1"/>
    </xf>
    <xf numFmtId="0" fontId="0" fillId="0" borderId="6" xfId="1" applyFont="1" applyFill="1" applyBorder="1" applyAlignment="1">
      <alignment horizontal="left" vertical="center" wrapText="1"/>
    </xf>
    <xf numFmtId="0" fontId="5" fillId="0" borderId="6" xfId="2" applyFill="1" applyBorder="1" applyAlignment="1">
      <alignment vertical="center"/>
    </xf>
    <xf numFmtId="0" fontId="10" fillId="0" borderId="6" xfId="0" applyFont="1" applyBorder="1"/>
    <xf numFmtId="49" fontId="8" fillId="0" borderId="0" xfId="3" applyNumberFormat="1" applyFont="1" applyAlignment="1">
      <alignment horizontal="center" vertical="center" wrapText="1"/>
    </xf>
    <xf numFmtId="0" fontId="1" fillId="0" borderId="0" xfId="1" applyFont="1" applyFill="1" applyBorder="1"/>
    <xf numFmtId="0" fontId="0" fillId="0" borderId="0" xfId="0" applyAlignment="1">
      <alignment horizontal="center"/>
    </xf>
    <xf numFmtId="0" fontId="0" fillId="0" borderId="0" xfId="4" applyFont="1" applyBorder="1"/>
    <xf numFmtId="0" fontId="0" fillId="0" borderId="0" xfId="4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9" fillId="0" borderId="6" xfId="1" applyFont="1" applyFill="1" applyBorder="1" applyAlignment="1">
      <alignment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20" fillId="0" borderId="0" xfId="5" applyNumberFormat="1" applyFont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164" fontId="0" fillId="0" borderId="6" xfId="1" applyNumberFormat="1" applyFont="1" applyFill="1" applyBorder="1" applyAlignment="1">
      <alignment vertical="center" wrapText="1"/>
    </xf>
    <xf numFmtId="0" fontId="0" fillId="0" borderId="6" xfId="1" applyFont="1" applyFill="1" applyBorder="1" applyAlignment="1">
      <alignment vertical="top" wrapText="1"/>
    </xf>
    <xf numFmtId="164" fontId="13" fillId="0" borderId="6" xfId="7" applyFont="1" applyBorder="1" applyAlignment="1">
      <alignment horizontal="left" vertical="center"/>
    </xf>
    <xf numFmtId="0" fontId="10" fillId="0" borderId="6" xfId="0" applyFont="1" applyBorder="1" applyAlignment="1">
      <alignment vertical="top" wrapText="1"/>
    </xf>
    <xf numFmtId="0" fontId="10" fillId="0" borderId="6" xfId="0" applyFont="1" applyBorder="1" applyAlignment="1">
      <alignment vertical="top"/>
    </xf>
    <xf numFmtId="164" fontId="13" fillId="0" borderId="6" xfId="7" applyFont="1" applyBorder="1" applyAlignment="1">
      <alignment horizontal="left"/>
    </xf>
    <xf numFmtId="0" fontId="10" fillId="0" borderId="6" xfId="0" applyFont="1" applyBorder="1" applyAlignment="1">
      <alignment wrapText="1"/>
    </xf>
    <xf numFmtId="0" fontId="10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0" fillId="0" borderId="12" xfId="0" applyBorder="1"/>
    <xf numFmtId="0" fontId="10" fillId="0" borderId="13" xfId="1" applyFont="1" applyFill="1" applyBorder="1" applyAlignment="1">
      <alignment horizontal="left" wrapText="1"/>
    </xf>
    <xf numFmtId="0" fontId="10" fillId="0" borderId="12" xfId="0" applyFont="1" applyBorder="1" applyAlignment="1">
      <alignment vertical="center" wrapText="1"/>
    </xf>
    <xf numFmtId="0" fontId="0" fillId="0" borderId="3" xfId="0" applyBorder="1"/>
    <xf numFmtId="164" fontId="22" fillId="0" borderId="6" xfId="0" applyNumberFormat="1" applyFont="1" applyBorder="1" applyAlignment="1">
      <alignment wrapText="1"/>
    </xf>
    <xf numFmtId="0" fontId="0" fillId="0" borderId="6" xfId="4" applyFont="1" applyBorder="1"/>
    <xf numFmtId="164" fontId="13" fillId="0" borderId="6" xfId="7" applyFont="1" applyBorder="1" applyAlignment="1">
      <alignment horizontal="left" vertical="center" wrapText="1"/>
    </xf>
    <xf numFmtId="164" fontId="13" fillId="0" borderId="3" xfId="7" applyFont="1" applyBorder="1" applyAlignment="1">
      <alignment horizontal="left" vertical="center"/>
    </xf>
    <xf numFmtId="0" fontId="21" fillId="7" borderId="14" xfId="8"/>
    <xf numFmtId="0" fontId="1" fillId="0" borderId="6" xfId="1" applyFont="1" applyFill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wrapText="1"/>
    </xf>
    <xf numFmtId="0" fontId="0" fillId="0" borderId="6" xfId="4" applyFont="1" applyFill="1" applyBorder="1"/>
    <xf numFmtId="0" fontId="23" fillId="0" borderId="0" xfId="4" applyFont="1"/>
    <xf numFmtId="0" fontId="24" fillId="4" borderId="6" xfId="0" applyFont="1" applyFill="1" applyBorder="1" applyAlignment="1">
      <alignment wrapText="1"/>
    </xf>
    <xf numFmtId="0" fontId="0" fillId="0" borderId="15" xfId="0" applyBorder="1"/>
    <xf numFmtId="0" fontId="11" fillId="0" borderId="6" xfId="4" applyFill="1" applyBorder="1"/>
    <xf numFmtId="0" fontId="16" fillId="0" borderId="6" xfId="1" applyFont="1" applyFill="1" applyBorder="1"/>
    <xf numFmtId="164" fontId="11" fillId="0" borderId="0" xfId="4" applyNumberFormat="1" applyFill="1" applyAlignment="1">
      <alignment horizontal="left"/>
    </xf>
    <xf numFmtId="0" fontId="0" fillId="8" borderId="6" xfId="0" quotePrefix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6" xfId="0" quotePrefix="1" applyBorder="1"/>
    <xf numFmtId="0" fontId="0" fillId="0" borderId="6" xfId="0" applyFill="1" applyBorder="1"/>
    <xf numFmtId="0" fontId="13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3" fillId="0" borderId="15" xfId="0" applyFont="1" applyBorder="1" applyAlignment="1">
      <alignment horizontal="center" wrapText="1"/>
    </xf>
    <xf numFmtId="164" fontId="13" fillId="0" borderId="6" xfId="5" applyFont="1" applyBorder="1" applyAlignment="1">
      <alignment horizontal="left"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wrapText="1"/>
    </xf>
    <xf numFmtId="0" fontId="10" fillId="0" borderId="6" xfId="0" quotePrefix="1" applyFont="1" applyBorder="1" applyAlignment="1">
      <alignment wrapText="1"/>
    </xf>
    <xf numFmtId="0" fontId="10" fillId="0" borderId="6" xfId="0" applyFont="1" applyFill="1" applyBorder="1" applyAlignment="1">
      <alignment vertical="center"/>
    </xf>
    <xf numFmtId="49" fontId="17" fillId="0" borderId="6" xfId="6" applyNumberFormat="1" applyFont="1" applyFill="1" applyBorder="1" applyAlignment="1">
      <alignment horizontal="left" vertical="top" wrapText="1"/>
    </xf>
    <xf numFmtId="0" fontId="13" fillId="0" borderId="6" xfId="0" quotePrefix="1" applyFont="1" applyFill="1" applyBorder="1" applyAlignment="1">
      <alignment vertical="center" wrapText="1"/>
    </xf>
    <xf numFmtId="0" fontId="10" fillId="0" borderId="6" xfId="0" quotePrefix="1" applyFont="1" applyFill="1" applyBorder="1" applyAlignment="1">
      <alignment wrapText="1"/>
    </xf>
    <xf numFmtId="0" fontId="17" fillId="0" borderId="6" xfId="0" applyFont="1" applyFill="1" applyBorder="1" applyAlignment="1">
      <alignment vertical="center" wrapText="1"/>
    </xf>
    <xf numFmtId="0" fontId="0" fillId="0" borderId="6" xfId="0" applyFill="1" applyBorder="1" applyAlignment="1">
      <alignment vertical="center"/>
    </xf>
    <xf numFmtId="43" fontId="10" fillId="0" borderId="6" xfId="9" quotePrefix="1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43" fontId="9" fillId="0" borderId="6" xfId="9" quotePrefix="1" applyFont="1" applyFill="1" applyBorder="1" applyAlignment="1">
      <alignment vertical="center" wrapText="1"/>
    </xf>
    <xf numFmtId="49" fontId="17" fillId="0" borderId="6" xfId="6" applyNumberFormat="1" applyFont="1" applyFill="1" applyBorder="1" applyAlignment="1">
      <alignment horizontal="left" vertical="center" wrapText="1"/>
    </xf>
    <xf numFmtId="164" fontId="17" fillId="0" borderId="6" xfId="6" applyFont="1" applyFill="1" applyBorder="1" applyAlignment="1">
      <alignment vertical="center" wrapText="1"/>
    </xf>
    <xf numFmtId="0" fontId="17" fillId="9" borderId="6" xfId="0" applyFont="1" applyFill="1" applyBorder="1" applyAlignment="1">
      <alignment vertical="center" wrapText="1"/>
    </xf>
    <xf numFmtId="0" fontId="17" fillId="0" borderId="6" xfId="0" quotePrefix="1" applyFont="1" applyFill="1" applyBorder="1" applyAlignment="1">
      <alignment vertical="center" wrapText="1"/>
    </xf>
    <xf numFmtId="0" fontId="0" fillId="0" borderId="6" xfId="0" applyFont="1" applyBorder="1" applyAlignment="1">
      <alignment vertical="center"/>
    </xf>
    <xf numFmtId="164" fontId="13" fillId="0" borderId="6" xfId="6" applyFont="1" applyFill="1" applyBorder="1" applyAlignment="1">
      <alignment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vertical="top" wrapText="1"/>
    </xf>
    <xf numFmtId="0" fontId="10" fillId="0" borderId="3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49" fontId="10" fillId="0" borderId="3" xfId="0" applyNumberFormat="1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49" fontId="10" fillId="0" borderId="6" xfId="0" applyNumberFormat="1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wrapText="1"/>
    </xf>
    <xf numFmtId="0" fontId="9" fillId="0" borderId="6" xfId="0" applyFont="1" applyFill="1" applyBorder="1" applyAlignment="1">
      <alignment vertical="center" wrapText="1"/>
    </xf>
    <xf numFmtId="0" fontId="0" fillId="0" borderId="6" xfId="0" applyFill="1" applyBorder="1" applyAlignment="1">
      <alignment wrapText="1"/>
    </xf>
    <xf numFmtId="0" fontId="10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left" vertical="center"/>
    </xf>
    <xf numFmtId="0" fontId="2" fillId="0" borderId="6" xfId="1" applyFill="1" applyBorder="1" applyAlignment="1">
      <alignment vertical="center" wrapText="1"/>
    </xf>
    <xf numFmtId="0" fontId="9" fillId="0" borderId="6" xfId="0" applyFont="1" applyFill="1" applyBorder="1" applyAlignment="1">
      <alignment vertical="center"/>
    </xf>
    <xf numFmtId="0" fontId="10" fillId="0" borderId="6" xfId="0" applyFont="1" applyFill="1" applyBorder="1"/>
    <xf numFmtId="0" fontId="2" fillId="2" borderId="6" xfId="1" applyBorder="1" applyAlignment="1">
      <alignment wrapText="1"/>
    </xf>
    <xf numFmtId="49" fontId="0" fillId="0" borderId="6" xfId="0" applyNumberFormat="1" applyBorder="1" applyAlignment="1">
      <alignment horizontal="center" vertical="center"/>
    </xf>
    <xf numFmtId="0" fontId="10" fillId="0" borderId="6" xfId="0" applyFont="1" applyFill="1" applyBorder="1" applyAlignment="1"/>
    <xf numFmtId="164" fontId="13" fillId="0" borderId="6" xfId="7" applyFont="1" applyFill="1" applyBorder="1" applyAlignment="1">
      <alignment horizontal="left"/>
    </xf>
    <xf numFmtId="0" fontId="10" fillId="0" borderId="6" xfId="0" applyFont="1" applyFill="1" applyBorder="1" applyAlignment="1">
      <alignment horizontal="center" wrapText="1"/>
    </xf>
    <xf numFmtId="0" fontId="10" fillId="9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wrapText="1"/>
    </xf>
    <xf numFmtId="0" fontId="10" fillId="0" borderId="6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wrapText="1"/>
    </xf>
    <xf numFmtId="49" fontId="10" fillId="0" borderId="6" xfId="0" applyNumberFormat="1" applyFont="1" applyFill="1" applyBorder="1" applyAlignment="1">
      <alignment horizontal="center" wrapText="1"/>
    </xf>
    <xf numFmtId="0" fontId="10" fillId="9" borderId="6" xfId="0" applyFont="1" applyFill="1" applyBorder="1" applyAlignment="1">
      <alignment vertical="center"/>
    </xf>
    <xf numFmtId="164" fontId="20" fillId="0" borderId="6" xfId="6" applyFont="1" applyFill="1" applyBorder="1" applyAlignment="1">
      <alignment horizontal="left"/>
    </xf>
    <xf numFmtId="164" fontId="20" fillId="9" borderId="6" xfId="6" applyFont="1" applyFill="1" applyBorder="1" applyAlignment="1">
      <alignment horizontal="left" vertical="center"/>
    </xf>
    <xf numFmtId="0" fontId="13" fillId="6" borderId="0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0" fontId="25" fillId="0" borderId="0" xfId="0" applyFont="1" applyAlignment="1">
      <alignment vertical="center"/>
    </xf>
    <xf numFmtId="14" fontId="0" fillId="0" borderId="6" xfId="0" applyNumberFormat="1" applyBorder="1" applyAlignment="1">
      <alignment horizontal="left"/>
    </xf>
    <xf numFmtId="49" fontId="9" fillId="0" borderId="6" xfId="3" applyNumberFormat="1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49" fontId="9" fillId="0" borderId="6" xfId="3" applyNumberFormat="1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center"/>
    </xf>
    <xf numFmtId="49" fontId="26" fillId="10" borderId="6" xfId="3" applyNumberFormat="1" applyFont="1" applyFill="1" applyBorder="1" applyAlignment="1">
      <alignment horizontal="center" vertical="center" wrapText="1"/>
    </xf>
    <xf numFmtId="0" fontId="5" fillId="10" borderId="0" xfId="0" applyFont="1" applyFill="1"/>
    <xf numFmtId="0" fontId="12" fillId="4" borderId="11" xfId="0" applyFont="1" applyFill="1" applyBorder="1" applyAlignment="1">
      <alignment horizontal="center" wrapText="1"/>
    </xf>
    <xf numFmtId="0" fontId="27" fillId="10" borderId="11" xfId="0" applyFont="1" applyFill="1" applyBorder="1" applyAlignment="1">
      <alignment wrapText="1"/>
    </xf>
    <xf numFmtId="0" fontId="27" fillId="10" borderId="6" xfId="0" applyFont="1" applyFill="1" applyBorder="1" applyAlignment="1">
      <alignment wrapText="1"/>
    </xf>
    <xf numFmtId="164" fontId="28" fillId="10" borderId="11" xfId="5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49" fontId="28" fillId="10" borderId="6" xfId="5" applyNumberFormat="1" applyFont="1" applyFill="1" applyBorder="1" applyAlignment="1">
      <alignment horizontal="center" vertical="center" wrapText="1"/>
    </xf>
    <xf numFmtId="0" fontId="26" fillId="10" borderId="6" xfId="0" applyFont="1" applyFill="1" applyBorder="1" applyAlignment="1">
      <alignment wrapText="1"/>
    </xf>
    <xf numFmtId="0" fontId="29" fillId="10" borderId="6" xfId="0" applyFont="1" applyFill="1" applyBorder="1" applyAlignment="1">
      <alignment wrapText="1"/>
    </xf>
    <xf numFmtId="0" fontId="27" fillId="10" borderId="6" xfId="0" applyFont="1" applyFill="1" applyBorder="1" applyAlignment="1">
      <alignment horizontal="left" wrapText="1"/>
    </xf>
    <xf numFmtId="0" fontId="29" fillId="10" borderId="0" xfId="0" applyFont="1" applyFill="1" applyBorder="1" applyAlignment="1">
      <alignment wrapText="1"/>
    </xf>
    <xf numFmtId="164" fontId="30" fillId="10" borderId="6" xfId="6" applyFont="1" applyFill="1" applyBorder="1" applyAlignment="1">
      <alignment horizontal="left" vertical="top" wrapText="1"/>
    </xf>
    <xf numFmtId="164" fontId="30" fillId="10" borderId="6" xfId="6" applyFont="1" applyFill="1" applyBorder="1" applyAlignment="1">
      <alignment horizontal="center" vertical="top" wrapText="1"/>
    </xf>
    <xf numFmtId="164" fontId="28" fillId="10" borderId="6" xfId="6" applyFont="1" applyFill="1" applyBorder="1" applyAlignment="1">
      <alignment horizontal="left" vertical="top" wrapText="1"/>
    </xf>
    <xf numFmtId="0" fontId="12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center" vertical="center" wrapText="1"/>
    </xf>
    <xf numFmtId="0" fontId="29" fillId="10" borderId="0" xfId="0" applyFont="1" applyFill="1" applyAlignment="1">
      <alignment wrapText="1"/>
    </xf>
    <xf numFmtId="0" fontId="27" fillId="10" borderId="16" xfId="0" applyFont="1" applyFill="1" applyBorder="1" applyAlignment="1">
      <alignment horizontal="center" vertical="center" wrapText="1"/>
    </xf>
  </cellXfs>
  <cellStyles count="10">
    <cellStyle name="Accent2" xfId="2" builtinId="33"/>
    <cellStyle name="Bad" xfId="1" builtinId="27"/>
    <cellStyle name="Calculation" xfId="8" builtinId="22"/>
    <cellStyle name="Comma" xfId="9" builtinId="3"/>
    <cellStyle name="Hyperlink" xfId="4" builtinId="8"/>
    <cellStyle name="Normal" xfId="0" builtinId="0"/>
    <cellStyle name="Normal 2" xfId="5"/>
    <cellStyle name="Normal 2 2 2 2" xfId="6"/>
    <cellStyle name="Normal 3" xfId="7"/>
    <cellStyle name="Normal 4 6" xfId="3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ColWidth="8.7109375" defaultRowHeight="15" x14ac:dyDescent="0.25"/>
  <cols>
    <col min="2" max="2" width="10.140625" bestFit="1" customWidth="1"/>
    <col min="4" max="4" width="35.42578125" customWidth="1"/>
    <col min="5" max="5" width="17.7109375" customWidth="1"/>
  </cols>
  <sheetData>
    <row r="1" spans="1:6" ht="14.65" customHeight="1" x14ac:dyDescent="0.25">
      <c r="A1" s="32" t="s">
        <v>63</v>
      </c>
      <c r="B1" s="32" t="s">
        <v>64</v>
      </c>
      <c r="C1" s="32" t="s">
        <v>65</v>
      </c>
      <c r="D1" s="32" t="s">
        <v>66</v>
      </c>
      <c r="E1" s="32" t="s">
        <v>67</v>
      </c>
      <c r="F1" s="32" t="s">
        <v>68</v>
      </c>
    </row>
    <row r="2" spans="1:6" x14ac:dyDescent="0.25">
      <c r="A2" s="212" t="s">
        <v>69</v>
      </c>
      <c r="B2" s="211">
        <v>45600</v>
      </c>
      <c r="C2" s="10" t="s">
        <v>665</v>
      </c>
      <c r="D2" s="214" t="s">
        <v>70</v>
      </c>
      <c r="E2" s="215" t="s">
        <v>71</v>
      </c>
      <c r="F2" s="215" t="s">
        <v>72</v>
      </c>
    </row>
    <row r="3" spans="1:6" x14ac:dyDescent="0.25">
      <c r="A3" s="213" t="s">
        <v>668</v>
      </c>
      <c r="B3" s="211">
        <v>45630</v>
      </c>
      <c r="C3" s="10" t="s">
        <v>665</v>
      </c>
      <c r="D3" s="10" t="s">
        <v>666</v>
      </c>
      <c r="E3" s="10" t="s">
        <v>667</v>
      </c>
      <c r="F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workbookViewId="0">
      <selection activeCell="C5" sqref="C5"/>
    </sheetView>
  </sheetViews>
  <sheetFormatPr defaultColWidth="8.7109375" defaultRowHeight="15" x14ac:dyDescent="0.25"/>
  <cols>
    <col min="2" max="2" width="4.42578125" customWidth="1"/>
    <col min="3" max="3" width="33.28515625" customWidth="1"/>
    <col min="4" max="4" width="13.28515625" customWidth="1"/>
    <col min="5" max="5" width="53.28515625" customWidth="1"/>
    <col min="6" max="6" width="15.42578125" customWidth="1"/>
    <col min="7" max="7" width="42.140625" customWidth="1"/>
    <col min="8" max="8" width="64.42578125" customWidth="1"/>
  </cols>
  <sheetData>
    <row r="2" spans="2:8" x14ac:dyDescent="0.25">
      <c r="B2" s="19" t="s">
        <v>62</v>
      </c>
      <c r="C2" s="20"/>
      <c r="D2" s="20"/>
      <c r="F2" s="20"/>
      <c r="G2" s="20"/>
      <c r="H2" s="20"/>
    </row>
    <row r="3" spans="2:8" x14ac:dyDescent="0.25">
      <c r="B3" s="19" t="s">
        <v>0</v>
      </c>
      <c r="C3" s="20"/>
      <c r="D3" s="20"/>
      <c r="F3" s="20"/>
      <c r="G3" s="20"/>
      <c r="H3" s="20"/>
    </row>
    <row r="4" spans="2:8" ht="15.75" thickBot="1" x14ac:dyDescent="0.3">
      <c r="C4" s="20"/>
      <c r="D4" s="20"/>
      <c r="F4" s="20"/>
      <c r="G4" s="20"/>
      <c r="H4" s="20"/>
    </row>
    <row r="5" spans="2:8" ht="28.9" customHeight="1" thickBot="1" x14ac:dyDescent="0.3">
      <c r="B5" s="1" t="s">
        <v>1</v>
      </c>
      <c r="C5" s="2" t="s">
        <v>2</v>
      </c>
      <c r="D5" s="2" t="s">
        <v>3</v>
      </c>
      <c r="E5" s="1" t="s">
        <v>4</v>
      </c>
      <c r="F5" s="2" t="s">
        <v>5</v>
      </c>
      <c r="G5" s="2" t="s">
        <v>6</v>
      </c>
      <c r="H5" s="2" t="s">
        <v>7</v>
      </c>
    </row>
    <row r="6" spans="2:8" ht="28.9" customHeight="1" x14ac:dyDescent="0.25">
      <c r="B6" s="3">
        <v>1</v>
      </c>
      <c r="C6" s="4" t="s">
        <v>8</v>
      </c>
      <c r="D6" s="5" t="s">
        <v>9</v>
      </c>
      <c r="E6" s="4" t="s">
        <v>10</v>
      </c>
      <c r="F6" s="21" t="s">
        <v>11</v>
      </c>
      <c r="G6" s="22"/>
      <c r="H6" s="23"/>
    </row>
    <row r="7" spans="2:8" ht="28.9" customHeight="1" x14ac:dyDescent="0.25">
      <c r="B7" s="6">
        <v>2</v>
      </c>
      <c r="C7" s="7" t="s">
        <v>12</v>
      </c>
      <c r="D7" s="8" t="s">
        <v>13</v>
      </c>
      <c r="E7" s="7" t="s">
        <v>14</v>
      </c>
      <c r="F7" s="24" t="s">
        <v>11</v>
      </c>
      <c r="G7" s="15"/>
      <c r="H7" s="11"/>
    </row>
    <row r="8" spans="2:8" ht="43.15" customHeight="1" x14ac:dyDescent="0.25">
      <c r="B8" s="6">
        <v>3</v>
      </c>
      <c r="C8" s="7" t="s">
        <v>15</v>
      </c>
      <c r="D8" s="8" t="s">
        <v>16</v>
      </c>
      <c r="E8" s="7" t="s">
        <v>17</v>
      </c>
      <c r="F8" s="24" t="s">
        <v>11</v>
      </c>
      <c r="G8" s="15" t="s">
        <v>18</v>
      </c>
      <c r="H8" s="11" t="s">
        <v>19</v>
      </c>
    </row>
    <row r="9" spans="2:8" ht="28.9" customHeight="1" x14ac:dyDescent="0.25">
      <c r="B9" s="6">
        <v>4</v>
      </c>
      <c r="C9" s="7" t="s">
        <v>20</v>
      </c>
      <c r="D9" s="9" t="s">
        <v>21</v>
      </c>
      <c r="E9" s="7" t="s">
        <v>17</v>
      </c>
      <c r="F9" s="24" t="s">
        <v>11</v>
      </c>
      <c r="G9" s="15" t="s">
        <v>18</v>
      </c>
      <c r="H9" s="11" t="s">
        <v>22</v>
      </c>
    </row>
    <row r="10" spans="2:8" ht="28.9" customHeight="1" x14ac:dyDescent="0.25">
      <c r="B10" s="6">
        <v>5</v>
      </c>
      <c r="C10" s="7" t="s">
        <v>23</v>
      </c>
      <c r="D10" s="9" t="s">
        <v>23</v>
      </c>
      <c r="E10" s="7" t="s">
        <v>24</v>
      </c>
      <c r="F10" s="24" t="s">
        <v>25</v>
      </c>
      <c r="G10" s="15" t="s">
        <v>26</v>
      </c>
      <c r="H10" s="11" t="s">
        <v>27</v>
      </c>
    </row>
    <row r="11" spans="2:8" ht="28.9" customHeight="1" x14ac:dyDescent="0.25">
      <c r="B11" s="6">
        <v>6</v>
      </c>
      <c r="C11" s="7" t="s">
        <v>28</v>
      </c>
      <c r="D11" s="8" t="s">
        <v>29</v>
      </c>
      <c r="E11" s="7" t="s">
        <v>24</v>
      </c>
      <c r="F11" s="24" t="s">
        <v>25</v>
      </c>
      <c r="G11" s="15" t="s">
        <v>26</v>
      </c>
      <c r="H11" s="11" t="s">
        <v>30</v>
      </c>
    </row>
    <row r="12" spans="2:8" ht="28.9" customHeight="1" x14ac:dyDescent="0.25">
      <c r="B12" s="6">
        <v>7</v>
      </c>
      <c r="C12" s="7" t="s">
        <v>31</v>
      </c>
      <c r="D12" s="8" t="s">
        <v>32</v>
      </c>
      <c r="E12" s="10" t="s">
        <v>33</v>
      </c>
      <c r="F12" s="24" t="s">
        <v>25</v>
      </c>
      <c r="G12" s="15" t="s">
        <v>34</v>
      </c>
      <c r="H12" s="11" t="s">
        <v>35</v>
      </c>
    </row>
    <row r="13" spans="2:8" ht="28.9" customHeight="1" x14ac:dyDescent="0.25">
      <c r="B13" s="6">
        <v>8</v>
      </c>
      <c r="C13" s="7" t="s">
        <v>36</v>
      </c>
      <c r="D13" s="8" t="s">
        <v>37</v>
      </c>
      <c r="E13" s="7" t="s">
        <v>33</v>
      </c>
      <c r="F13" s="24" t="s">
        <v>25</v>
      </c>
      <c r="G13" s="15" t="s">
        <v>34</v>
      </c>
      <c r="H13" s="11" t="s">
        <v>35</v>
      </c>
    </row>
    <row r="14" spans="2:8" ht="28.9" customHeight="1" x14ac:dyDescent="0.25">
      <c r="B14" s="6">
        <v>9</v>
      </c>
      <c r="C14" s="7" t="s">
        <v>38</v>
      </c>
      <c r="D14" s="8" t="s">
        <v>39</v>
      </c>
      <c r="E14" s="7" t="s">
        <v>40</v>
      </c>
      <c r="F14" s="24" t="s">
        <v>11</v>
      </c>
      <c r="G14" s="15"/>
      <c r="H14" s="11"/>
    </row>
    <row r="15" spans="2:8" ht="72" customHeight="1" x14ac:dyDescent="0.25">
      <c r="B15" s="6">
        <v>10</v>
      </c>
      <c r="C15" s="7" t="s">
        <v>41</v>
      </c>
      <c r="D15" s="9" t="s">
        <v>42</v>
      </c>
      <c r="E15" s="7" t="s">
        <v>43</v>
      </c>
      <c r="F15" s="24" t="s">
        <v>11</v>
      </c>
      <c r="G15" s="15" t="s">
        <v>18</v>
      </c>
      <c r="H15" s="11" t="s">
        <v>44</v>
      </c>
    </row>
    <row r="16" spans="2:8" ht="43.15" customHeight="1" x14ac:dyDescent="0.25">
      <c r="B16" s="6">
        <v>11</v>
      </c>
      <c r="C16" s="7" t="s">
        <v>45</v>
      </c>
      <c r="D16" s="8" t="s">
        <v>46</v>
      </c>
      <c r="E16" s="7" t="s">
        <v>47</v>
      </c>
      <c r="F16" s="24" t="s">
        <v>25</v>
      </c>
      <c r="G16" s="15" t="s">
        <v>26</v>
      </c>
      <c r="H16" s="11"/>
    </row>
    <row r="17" spans="2:8" ht="28.9" customHeight="1" x14ac:dyDescent="0.25">
      <c r="B17" s="6">
        <v>12</v>
      </c>
      <c r="C17" s="7" t="s">
        <v>48</v>
      </c>
      <c r="D17" s="9" t="s">
        <v>49</v>
      </c>
      <c r="E17" s="7" t="s">
        <v>50</v>
      </c>
      <c r="F17" s="24" t="s">
        <v>25</v>
      </c>
      <c r="G17" s="15" t="s">
        <v>34</v>
      </c>
      <c r="H17" s="11" t="s">
        <v>51</v>
      </c>
    </row>
    <row r="18" spans="2:8" ht="28.9" customHeight="1" x14ac:dyDescent="0.25">
      <c r="B18" s="6">
        <v>13</v>
      </c>
      <c r="C18" s="7" t="s">
        <v>52</v>
      </c>
      <c r="D18" s="8" t="s">
        <v>53</v>
      </c>
      <c r="E18" s="12"/>
      <c r="F18" s="24" t="s">
        <v>11</v>
      </c>
      <c r="G18" s="15" t="s">
        <v>26</v>
      </c>
      <c r="H18" s="11" t="s">
        <v>54</v>
      </c>
    </row>
    <row r="19" spans="2:8" ht="43.15" customHeight="1" x14ac:dyDescent="0.25">
      <c r="B19" s="13">
        <v>14</v>
      </c>
      <c r="C19" s="14" t="s">
        <v>55</v>
      </c>
      <c r="D19" s="9" t="s">
        <v>56</v>
      </c>
      <c r="E19" s="10"/>
      <c r="F19" s="9" t="s">
        <v>57</v>
      </c>
      <c r="G19" s="15" t="s">
        <v>58</v>
      </c>
      <c r="H19" s="11" t="s">
        <v>59</v>
      </c>
    </row>
    <row r="20" spans="2:8" ht="28.9" customHeight="1" thickBot="1" x14ac:dyDescent="0.3">
      <c r="B20" s="16">
        <v>15</v>
      </c>
      <c r="C20" s="17" t="s">
        <v>60</v>
      </c>
      <c r="D20" s="18" t="s">
        <v>53</v>
      </c>
      <c r="E20" s="25"/>
      <c r="F20" s="26" t="s">
        <v>11</v>
      </c>
      <c r="G20" s="27" t="s">
        <v>26</v>
      </c>
      <c r="H20" s="28" t="s">
        <v>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2" sqref="C12"/>
    </sheetView>
  </sheetViews>
  <sheetFormatPr defaultColWidth="8.7109375" defaultRowHeight="15" x14ac:dyDescent="0.25"/>
  <cols>
    <col min="1" max="1" width="15" bestFit="1" customWidth="1"/>
    <col min="2" max="3" width="35.42578125" customWidth="1"/>
    <col min="4" max="4" width="26.7109375" customWidth="1"/>
    <col min="5" max="5" width="44.42578125" customWidth="1"/>
    <col min="6" max="6" width="11.140625" customWidth="1"/>
  </cols>
  <sheetData>
    <row r="1" spans="1:6" x14ac:dyDescent="0.25">
      <c r="A1" s="217" t="s">
        <v>364</v>
      </c>
      <c r="B1" t="s">
        <v>365</v>
      </c>
      <c r="C1" s="108"/>
      <c r="D1" s="108"/>
      <c r="E1" s="108"/>
      <c r="F1" s="108"/>
    </row>
    <row r="2" spans="1:6" x14ac:dyDescent="0.25">
      <c r="A2" s="217" t="s">
        <v>657</v>
      </c>
      <c r="B2" t="s">
        <v>660</v>
      </c>
      <c r="C2" s="108"/>
      <c r="D2" s="108"/>
      <c r="E2" s="108"/>
      <c r="F2" s="108"/>
    </row>
    <row r="3" spans="1:6" x14ac:dyDescent="0.25">
      <c r="A3" s="217" t="s">
        <v>657</v>
      </c>
      <c r="B3" s="210" t="s">
        <v>659</v>
      </c>
      <c r="C3" s="108"/>
      <c r="D3" s="108"/>
      <c r="E3" s="108"/>
      <c r="F3" s="108"/>
    </row>
    <row r="4" spans="1:6" x14ac:dyDescent="0.25">
      <c r="A4" s="217" t="s">
        <v>657</v>
      </c>
      <c r="B4" s="210" t="s">
        <v>662</v>
      </c>
      <c r="C4" s="108"/>
      <c r="D4" s="108"/>
      <c r="E4" s="108"/>
      <c r="F4" s="108"/>
    </row>
    <row r="5" spans="1:6" x14ac:dyDescent="0.25">
      <c r="C5" s="80"/>
      <c r="F5" s="110"/>
    </row>
    <row r="6" spans="1:6" x14ac:dyDescent="0.25">
      <c r="A6" s="216" t="s">
        <v>73</v>
      </c>
      <c r="B6" s="216" t="s">
        <v>74</v>
      </c>
      <c r="C6" s="218" t="s">
        <v>75</v>
      </c>
      <c r="D6" s="216" t="s">
        <v>76</v>
      </c>
      <c r="E6" s="218" t="s">
        <v>77</v>
      </c>
      <c r="F6" s="216" t="s">
        <v>84</v>
      </c>
    </row>
    <row r="7" spans="1:6" x14ac:dyDescent="0.25">
      <c r="A7" s="99">
        <v>10</v>
      </c>
      <c r="B7" s="10" t="s">
        <v>78</v>
      </c>
      <c r="C7" s="29" t="str">
        <f t="shared" ref="C7:C12" si="0">HYPERLINK(CONCATENATE("#",B7,"!$A$1"),B7)</f>
        <v>IDB_Level1</v>
      </c>
      <c r="D7" s="10" t="s">
        <v>79</v>
      </c>
      <c r="E7" s="10" t="s">
        <v>80</v>
      </c>
      <c r="F7" s="30" t="s">
        <v>85</v>
      </c>
    </row>
    <row r="8" spans="1:6" x14ac:dyDescent="0.25">
      <c r="A8" s="99">
        <v>20</v>
      </c>
      <c r="B8" s="10" t="s">
        <v>517</v>
      </c>
      <c r="C8" s="29" t="str">
        <f t="shared" si="0"/>
        <v>IDB_Level2</v>
      </c>
      <c r="D8" s="10" t="s">
        <v>79</v>
      </c>
      <c r="E8" s="10" t="s">
        <v>80</v>
      </c>
      <c r="F8" s="30"/>
    </row>
    <row r="9" spans="1:6" x14ac:dyDescent="0.25">
      <c r="A9" s="99">
        <v>30</v>
      </c>
      <c r="B9" s="10" t="s">
        <v>81</v>
      </c>
      <c r="C9" s="29" t="str">
        <f t="shared" si="0"/>
        <v>IDB_FalloutDictionary</v>
      </c>
      <c r="D9" s="10" t="s">
        <v>82</v>
      </c>
      <c r="E9" s="10" t="s">
        <v>83</v>
      </c>
      <c r="F9" s="30" t="s">
        <v>85</v>
      </c>
    </row>
    <row r="10" spans="1:6" x14ac:dyDescent="0.25">
      <c r="A10" s="99">
        <v>40</v>
      </c>
      <c r="B10" s="136" t="s">
        <v>425</v>
      </c>
      <c r="C10" s="29" t="str">
        <f t="shared" si="0"/>
        <v>IDB_DependenceDictionaryForL0</v>
      </c>
      <c r="D10" s="10" t="s">
        <v>426</v>
      </c>
      <c r="E10" s="10" t="s">
        <v>427</v>
      </c>
      <c r="F10" s="30" t="s">
        <v>85</v>
      </c>
    </row>
    <row r="11" spans="1:6" x14ac:dyDescent="0.25">
      <c r="A11" s="99">
        <v>50</v>
      </c>
      <c r="B11" s="142" t="s">
        <v>439</v>
      </c>
      <c r="C11" s="29" t="str">
        <f t="shared" si="0"/>
        <v>IDB_PostFallout_Level1</v>
      </c>
      <c r="D11" s="10" t="s">
        <v>79</v>
      </c>
      <c r="E11" s="10" t="s">
        <v>440</v>
      </c>
      <c r="F11" s="30" t="s">
        <v>85</v>
      </c>
    </row>
    <row r="12" spans="1:6" x14ac:dyDescent="0.25">
      <c r="A12" s="99">
        <v>51</v>
      </c>
      <c r="B12" s="142" t="s">
        <v>441</v>
      </c>
      <c r="C12" s="29" t="str">
        <f t="shared" si="0"/>
        <v>IDB_PostFallout_Level2</v>
      </c>
      <c r="D12" s="10" t="s">
        <v>79</v>
      </c>
      <c r="E12" s="10" t="s">
        <v>440</v>
      </c>
      <c r="F12" s="30" t="s">
        <v>85</v>
      </c>
    </row>
    <row r="13" spans="1:6" x14ac:dyDescent="0.25">
      <c r="A13" s="109"/>
      <c r="B13" s="111"/>
      <c r="C13" s="80"/>
      <c r="F13" s="110"/>
    </row>
    <row r="14" spans="1:6" x14ac:dyDescent="0.25">
      <c r="A14" s="109"/>
      <c r="B14" s="111"/>
      <c r="C14" s="80"/>
      <c r="F14" s="110"/>
    </row>
    <row r="15" spans="1:6" x14ac:dyDescent="0.25">
      <c r="A15" s="109"/>
      <c r="B15" s="111"/>
      <c r="C15" s="80"/>
      <c r="F15" s="110"/>
    </row>
    <row r="16" spans="1:6" x14ac:dyDescent="0.25">
      <c r="A16" s="109"/>
      <c r="B16" s="112"/>
      <c r="C16" s="80"/>
      <c r="F16" s="110"/>
    </row>
    <row r="17" spans="1:6" x14ac:dyDescent="0.25">
      <c r="A17" s="109"/>
      <c r="B17" s="112"/>
      <c r="C17" s="80"/>
      <c r="F17" s="1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1" sqref="C1"/>
    </sheetView>
  </sheetViews>
  <sheetFormatPr defaultColWidth="8.7109375" defaultRowHeight="15" x14ac:dyDescent="0.25"/>
  <cols>
    <col min="1" max="1" width="31.140625" customWidth="1"/>
    <col min="2" max="2" width="35.42578125" customWidth="1"/>
    <col min="4" max="4" width="9.42578125" bestFit="1" customWidth="1"/>
  </cols>
  <sheetData>
    <row r="1" spans="1:4" x14ac:dyDescent="0.25">
      <c r="C1" s="31" t="str">
        <f>HYPERLINK("#Config!$A$1","Config")</f>
        <v>Config</v>
      </c>
    </row>
    <row r="2" spans="1:4" ht="14.65" customHeight="1" x14ac:dyDescent="0.25">
      <c r="A2" s="32" t="s">
        <v>86</v>
      </c>
      <c r="B2" s="219" t="s">
        <v>74</v>
      </c>
      <c r="C2" s="219" t="s">
        <v>87</v>
      </c>
      <c r="D2" s="220" t="s">
        <v>84</v>
      </c>
    </row>
    <row r="3" spans="1:4" x14ac:dyDescent="0.25">
      <c r="A3" s="29" t="str">
        <f>HYPERLINK(CONCATENATE("#",B3,"!$A$1"),B3)</f>
        <v>IDB_PH1_CIM_CUSTOMER</v>
      </c>
      <c r="B3" s="10" t="s">
        <v>89</v>
      </c>
      <c r="C3" s="153" t="s">
        <v>88</v>
      </c>
      <c r="D3" s="10" t="s">
        <v>85</v>
      </c>
    </row>
    <row r="4" spans="1:4" x14ac:dyDescent="0.25">
      <c r="A4" s="29" t="str">
        <f t="shared" ref="A4:A16" si="0">HYPERLINK(CONCATENATE("#",B4,"!$A$1"),B4)</f>
        <v>IDB_PH1_CIM_INDIVIDUAL</v>
      </c>
      <c r="B4" s="156" t="s">
        <v>90</v>
      </c>
      <c r="C4" s="154" t="s">
        <v>88</v>
      </c>
      <c r="D4" s="10" t="s">
        <v>85</v>
      </c>
    </row>
    <row r="5" spans="1:4" x14ac:dyDescent="0.25">
      <c r="A5" s="29" t="str">
        <f t="shared" si="0"/>
        <v>IDB_PH1_CIM_LANGUAGE_REF</v>
      </c>
      <c r="B5" s="107" t="s">
        <v>91</v>
      </c>
      <c r="C5" s="155" t="s">
        <v>88</v>
      </c>
      <c r="D5" s="10" t="s">
        <v>85</v>
      </c>
    </row>
    <row r="6" spans="1:4" x14ac:dyDescent="0.25">
      <c r="A6" s="29" t="str">
        <f t="shared" si="0"/>
        <v>IDB_PH1_CIM_CONTACT_MED</v>
      </c>
      <c r="B6" s="107" t="s">
        <v>436</v>
      </c>
      <c r="C6" s="155" t="s">
        <v>88</v>
      </c>
      <c r="D6" s="10" t="s">
        <v>85</v>
      </c>
    </row>
    <row r="7" spans="1:4" x14ac:dyDescent="0.25">
      <c r="A7" s="29" t="str">
        <f t="shared" si="0"/>
        <v>IDB_PH1_CIM_CREDIT_PROFILE</v>
      </c>
      <c r="B7" s="10" t="s">
        <v>267</v>
      </c>
      <c r="C7" s="155" t="s">
        <v>88</v>
      </c>
      <c r="D7" s="10" t="s">
        <v>260</v>
      </c>
    </row>
    <row r="8" spans="1:4" x14ac:dyDescent="0.25">
      <c r="A8" s="29" t="str">
        <f t="shared" si="0"/>
        <v>IDB_PH1_CIM_CONTACT_HOURS</v>
      </c>
      <c r="B8" s="10" t="s">
        <v>268</v>
      </c>
      <c r="C8" s="155" t="s">
        <v>88</v>
      </c>
      <c r="D8" s="10" t="s">
        <v>85</v>
      </c>
    </row>
    <row r="9" spans="1:4" x14ac:dyDescent="0.25">
      <c r="A9" s="29" t="str">
        <f t="shared" si="0"/>
        <v>IDB_PH1_CIM_INDIV_NAME</v>
      </c>
      <c r="B9" s="10" t="s">
        <v>424</v>
      </c>
      <c r="C9" s="155" t="s">
        <v>88</v>
      </c>
      <c r="D9" s="10" t="s">
        <v>85</v>
      </c>
    </row>
    <row r="10" spans="1:4" x14ac:dyDescent="0.25">
      <c r="A10" s="29" t="str">
        <f t="shared" si="0"/>
        <v>IDB_PH1_CIM_INDIV_IDENT</v>
      </c>
      <c r="B10" s="10" t="s">
        <v>368</v>
      </c>
      <c r="C10" s="155" t="s">
        <v>88</v>
      </c>
      <c r="D10" s="10" t="s">
        <v>85</v>
      </c>
    </row>
    <row r="11" spans="1:4" x14ac:dyDescent="0.25">
      <c r="A11" s="29" t="str">
        <f t="shared" si="0"/>
        <v>IDB_PH1_CIM_ACCOUNT_REF</v>
      </c>
      <c r="B11" s="10" t="s">
        <v>269</v>
      </c>
      <c r="C11" s="155" t="s">
        <v>88</v>
      </c>
      <c r="D11" s="10" t="s">
        <v>260</v>
      </c>
    </row>
    <row r="12" spans="1:4" x14ac:dyDescent="0.25">
      <c r="A12" s="29" t="str">
        <f t="shared" si="0"/>
        <v>IDB_PH1_CIM_PARTY_ROLE</v>
      </c>
      <c r="B12" s="10" t="s">
        <v>516</v>
      </c>
      <c r="C12" s="155" t="s">
        <v>88</v>
      </c>
      <c r="D12" s="10" t="s">
        <v>85</v>
      </c>
    </row>
    <row r="13" spans="1:4" x14ac:dyDescent="0.25">
      <c r="A13" s="29" t="str">
        <f t="shared" si="0"/>
        <v>IDB_PH1_CIM_ATTACHMENT</v>
      </c>
      <c r="B13" s="173" t="s">
        <v>569</v>
      </c>
      <c r="C13" s="155" t="s">
        <v>88</v>
      </c>
      <c r="D13" s="10" t="s">
        <v>85</v>
      </c>
    </row>
    <row r="14" spans="1:4" x14ac:dyDescent="0.25">
      <c r="A14" s="29" t="str">
        <f t="shared" si="0"/>
        <v>IDB_PH1_CIM_AGREEMENT_REF</v>
      </c>
      <c r="B14" s="173" t="s">
        <v>570</v>
      </c>
      <c r="C14" s="155" t="s">
        <v>88</v>
      </c>
      <c r="D14" s="10" t="s">
        <v>85</v>
      </c>
    </row>
    <row r="15" spans="1:4" x14ac:dyDescent="0.25">
      <c r="A15" s="29" t="str">
        <f t="shared" si="0"/>
        <v>IDB_PH1_CIM_NOTE</v>
      </c>
      <c r="B15" s="173" t="s">
        <v>571</v>
      </c>
      <c r="C15" s="155" t="s">
        <v>88</v>
      </c>
      <c r="D15" s="10" t="s">
        <v>85</v>
      </c>
    </row>
    <row r="16" spans="1:4" x14ac:dyDescent="0.25">
      <c r="A16" s="29" t="str">
        <f t="shared" si="0"/>
        <v>IDB_PH1_CIM_CON_MED_ASSOC</v>
      </c>
      <c r="B16" s="173" t="s">
        <v>572</v>
      </c>
      <c r="C16" s="155" t="s">
        <v>88</v>
      </c>
      <c r="D16" s="10" t="s">
        <v>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1" sqref="C1"/>
    </sheetView>
  </sheetViews>
  <sheetFormatPr defaultRowHeight="15" x14ac:dyDescent="0.25"/>
  <cols>
    <col min="1" max="2" width="26.7109375" customWidth="1"/>
  </cols>
  <sheetData>
    <row r="1" spans="1:4" x14ac:dyDescent="0.25">
      <c r="C1" s="31" t="str">
        <f>HYPERLINK("#Config!$A$1","Config")</f>
        <v>Config</v>
      </c>
    </row>
    <row r="2" spans="1:4" x14ac:dyDescent="0.25">
      <c r="A2" s="32" t="s">
        <v>86</v>
      </c>
      <c r="B2" s="219" t="s">
        <v>74</v>
      </c>
      <c r="C2" s="219" t="s">
        <v>87</v>
      </c>
      <c r="D2" s="220" t="s">
        <v>84</v>
      </c>
    </row>
    <row r="3" spans="1:4" x14ac:dyDescent="0.25">
      <c r="A3" s="29" t="str">
        <f t="shared" ref="A3" si="0">HYPERLINK(CONCATENATE("#",B3,"!$A$1"),B3)</f>
        <v>IDB_PH1_CIM_PTY_ROLE_ASC</v>
      </c>
      <c r="B3" s="10" t="s">
        <v>513</v>
      </c>
      <c r="C3" s="155" t="s">
        <v>88</v>
      </c>
      <c r="D3" s="10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selection activeCell="J2" sqref="J2"/>
    </sheetView>
  </sheetViews>
  <sheetFormatPr defaultColWidth="8.7109375" defaultRowHeight="15" x14ac:dyDescent="0.25"/>
  <cols>
    <col min="2" max="2" width="27.7109375" customWidth="1"/>
    <col min="3" max="3" width="22.140625" customWidth="1"/>
    <col min="4" max="4" width="13.28515625" customWidth="1"/>
    <col min="5" max="5" width="51.140625" customWidth="1"/>
    <col min="7" max="7" width="11.140625" customWidth="1"/>
    <col min="8" max="8" width="62.28515625" customWidth="1"/>
    <col min="9" max="9" width="35.42578125" customWidth="1"/>
    <col min="11" max="11" width="31.140625" customWidth="1"/>
    <col min="12" max="12" width="26.7109375" customWidth="1"/>
    <col min="13" max="13" width="15.42578125" customWidth="1"/>
    <col min="14" max="14" width="17.7109375" customWidth="1"/>
    <col min="15" max="15" width="7.7109375" customWidth="1"/>
    <col min="16" max="16" width="12.140625" customWidth="1"/>
  </cols>
  <sheetData>
    <row r="1" spans="1:19" x14ac:dyDescent="0.25">
      <c r="B1" s="31"/>
      <c r="C1" s="31" t="str">
        <f>HYPERLINK("#Config!$A$1","Config")</f>
        <v>Config</v>
      </c>
      <c r="F1" s="113"/>
      <c r="G1" s="114"/>
      <c r="O1" s="115"/>
    </row>
    <row r="2" spans="1:19" ht="28.9" customHeight="1" x14ac:dyDescent="0.25">
      <c r="A2" s="221" t="s">
        <v>87</v>
      </c>
      <c r="B2" s="221" t="s">
        <v>370</v>
      </c>
      <c r="C2" s="221" t="s">
        <v>107</v>
      </c>
      <c r="D2" s="221" t="s">
        <v>371</v>
      </c>
      <c r="E2" s="221" t="s">
        <v>372</v>
      </c>
      <c r="F2" s="221" t="s">
        <v>373</v>
      </c>
      <c r="G2" s="221" t="s">
        <v>374</v>
      </c>
      <c r="H2" s="221" t="s">
        <v>375</v>
      </c>
      <c r="I2" s="222" t="s">
        <v>376</v>
      </c>
      <c r="J2" s="221" t="s">
        <v>377</v>
      </c>
      <c r="K2" s="221" t="s">
        <v>26</v>
      </c>
      <c r="L2" s="221" t="s">
        <v>378</v>
      </c>
      <c r="M2" s="221" t="s">
        <v>379</v>
      </c>
      <c r="N2" s="221" t="s">
        <v>34</v>
      </c>
      <c r="O2" s="222" t="s">
        <v>380</v>
      </c>
      <c r="P2" s="222" t="s">
        <v>381</v>
      </c>
      <c r="Q2" s="223" t="s">
        <v>84</v>
      </c>
      <c r="R2" s="119"/>
      <c r="S2" s="119"/>
    </row>
    <row r="3" spans="1:19" ht="25.5" x14ac:dyDescent="0.25">
      <c r="A3" s="63" t="s">
        <v>88</v>
      </c>
      <c r="B3" s="120" t="s">
        <v>89</v>
      </c>
      <c r="C3" s="63" t="s">
        <v>98</v>
      </c>
      <c r="D3" s="116" t="s">
        <v>386</v>
      </c>
      <c r="E3" s="63" t="s">
        <v>387</v>
      </c>
      <c r="F3" s="128" t="s">
        <v>383</v>
      </c>
      <c r="G3" s="129" t="s">
        <v>39</v>
      </c>
      <c r="H3" s="63" t="s">
        <v>388</v>
      </c>
      <c r="I3" s="63"/>
      <c r="J3" s="63"/>
      <c r="K3" s="60"/>
      <c r="L3" s="60" t="s">
        <v>90</v>
      </c>
      <c r="M3" s="117" t="s">
        <v>98</v>
      </c>
      <c r="N3" s="60"/>
      <c r="O3" s="118" t="s">
        <v>384</v>
      </c>
      <c r="P3" s="116" t="s">
        <v>385</v>
      </c>
      <c r="Q3" s="15"/>
      <c r="R3" s="20"/>
      <c r="S3" s="20"/>
    </row>
    <row r="4" spans="1:19" x14ac:dyDescent="0.25">
      <c r="A4" s="120" t="s">
        <v>88</v>
      </c>
      <c r="B4" s="120" t="s">
        <v>89</v>
      </c>
      <c r="C4" s="120" t="s">
        <v>113</v>
      </c>
      <c r="D4" s="116" t="s">
        <v>394</v>
      </c>
      <c r="E4" s="120" t="s">
        <v>403</v>
      </c>
      <c r="F4" s="128" t="s">
        <v>383</v>
      </c>
      <c r="G4" s="127" t="s">
        <v>9</v>
      </c>
      <c r="H4" s="120" t="s">
        <v>404</v>
      </c>
      <c r="I4" s="10"/>
      <c r="J4" s="10"/>
      <c r="K4" s="10"/>
      <c r="L4" s="10"/>
      <c r="M4" s="10"/>
      <c r="N4" s="10"/>
      <c r="O4" s="36">
        <v>1</v>
      </c>
      <c r="P4" s="10"/>
      <c r="Q4" s="10"/>
    </row>
    <row r="5" spans="1:19" ht="25.5" x14ac:dyDescent="0.25">
      <c r="A5" s="107" t="s">
        <v>88</v>
      </c>
      <c r="B5" s="126" t="s">
        <v>90</v>
      </c>
      <c r="C5" s="127" t="s">
        <v>98</v>
      </c>
      <c r="D5" s="141" t="s">
        <v>395</v>
      </c>
      <c r="E5" s="107" t="s">
        <v>405</v>
      </c>
      <c r="F5" s="128" t="s">
        <v>383</v>
      </c>
      <c r="G5" s="10" t="s">
        <v>42</v>
      </c>
      <c r="H5" s="124" t="s">
        <v>406</v>
      </c>
      <c r="I5" s="125"/>
      <c r="J5" s="107"/>
      <c r="K5" s="107"/>
      <c r="L5" s="33" t="s">
        <v>89</v>
      </c>
      <c r="M5" s="107" t="s">
        <v>98</v>
      </c>
      <c r="N5" s="107"/>
      <c r="O5" s="36">
        <v>1</v>
      </c>
      <c r="P5" s="10"/>
      <c r="Q5" s="10"/>
    </row>
    <row r="6" spans="1:19" ht="38.25" x14ac:dyDescent="0.25">
      <c r="A6" s="127" t="s">
        <v>88</v>
      </c>
      <c r="B6" s="127" t="s">
        <v>89</v>
      </c>
      <c r="C6" s="127" t="s">
        <v>122</v>
      </c>
      <c r="D6" s="128" t="s">
        <v>382</v>
      </c>
      <c r="E6" s="129" t="s">
        <v>407</v>
      </c>
      <c r="F6" s="128" t="s">
        <v>383</v>
      </c>
      <c r="G6" s="127" t="s">
        <v>53</v>
      </c>
      <c r="H6" s="127" t="s">
        <v>408</v>
      </c>
      <c r="I6" s="63" t="s">
        <v>409</v>
      </c>
      <c r="J6" s="63"/>
      <c r="K6" s="117" t="s">
        <v>410</v>
      </c>
      <c r="L6" s="10"/>
      <c r="M6" s="131"/>
      <c r="N6" s="10"/>
      <c r="O6" s="30">
        <v>1</v>
      </c>
      <c r="P6" s="10"/>
      <c r="Q6" s="10"/>
    </row>
    <row r="7" spans="1:19" ht="25.5" x14ac:dyDescent="0.25">
      <c r="A7" s="63" t="s">
        <v>88</v>
      </c>
      <c r="B7" s="63" t="s">
        <v>91</v>
      </c>
      <c r="C7" s="63" t="s">
        <v>105</v>
      </c>
      <c r="D7" s="140" t="s">
        <v>396</v>
      </c>
      <c r="E7" s="63" t="s">
        <v>411</v>
      </c>
      <c r="F7" s="128" t="s">
        <v>383</v>
      </c>
      <c r="G7" s="63" t="s">
        <v>16</v>
      </c>
      <c r="H7" s="63" t="s">
        <v>413</v>
      </c>
      <c r="I7" s="63"/>
      <c r="J7" s="63"/>
      <c r="K7" s="63"/>
      <c r="L7" s="130" t="s">
        <v>90</v>
      </c>
      <c r="M7" s="132" t="s">
        <v>98</v>
      </c>
      <c r="N7" s="63"/>
      <c r="O7" s="30">
        <v>1</v>
      </c>
      <c r="P7" s="10"/>
      <c r="Q7" s="10"/>
    </row>
    <row r="8" spans="1:19" x14ac:dyDescent="0.25">
      <c r="A8" s="63" t="s">
        <v>88</v>
      </c>
      <c r="B8" s="63" t="s">
        <v>91</v>
      </c>
      <c r="C8" s="63" t="s">
        <v>209</v>
      </c>
      <c r="D8" s="140" t="s">
        <v>397</v>
      </c>
      <c r="E8" s="63" t="s">
        <v>412</v>
      </c>
      <c r="F8" s="128" t="s">
        <v>383</v>
      </c>
      <c r="G8" s="63" t="s">
        <v>9</v>
      </c>
      <c r="H8" s="63" t="s">
        <v>414</v>
      </c>
      <c r="I8" s="63"/>
      <c r="J8" s="63"/>
      <c r="K8" s="63"/>
      <c r="L8" s="63"/>
      <c r="M8" s="133"/>
      <c r="N8" s="63"/>
      <c r="O8" s="30">
        <v>1</v>
      </c>
      <c r="P8" s="10"/>
      <c r="Q8" s="10"/>
    </row>
    <row r="9" spans="1:19" ht="30" x14ac:dyDescent="0.25">
      <c r="A9" s="127" t="s">
        <v>88</v>
      </c>
      <c r="B9" s="127" t="s">
        <v>436</v>
      </c>
      <c r="C9" s="127" t="s">
        <v>207</v>
      </c>
      <c r="D9" s="128" t="s">
        <v>398</v>
      </c>
      <c r="E9" s="127" t="s">
        <v>437</v>
      </c>
      <c r="F9" s="128" t="s">
        <v>383</v>
      </c>
      <c r="G9" s="127" t="s">
        <v>49</v>
      </c>
      <c r="H9" s="63" t="s">
        <v>438</v>
      </c>
      <c r="I9" s="10" t="s">
        <v>415</v>
      </c>
      <c r="J9" s="10"/>
      <c r="K9" s="10"/>
      <c r="L9" s="10"/>
      <c r="M9" s="10"/>
      <c r="N9" s="15" t="s">
        <v>420</v>
      </c>
      <c r="O9" s="30">
        <v>1</v>
      </c>
      <c r="P9" s="10"/>
      <c r="Q9" s="10"/>
    </row>
    <row r="10" spans="1:19" ht="45" x14ac:dyDescent="0.25">
      <c r="A10" s="127" t="s">
        <v>88</v>
      </c>
      <c r="B10" s="127" t="s">
        <v>268</v>
      </c>
      <c r="C10" s="127" t="s">
        <v>274</v>
      </c>
      <c r="D10" s="128" t="s">
        <v>399</v>
      </c>
      <c r="E10" s="127" t="s">
        <v>416</v>
      </c>
      <c r="F10" s="128" t="s">
        <v>383</v>
      </c>
      <c r="G10" s="127" t="s">
        <v>32</v>
      </c>
      <c r="H10" s="127" t="s">
        <v>417</v>
      </c>
      <c r="I10" s="15" t="s">
        <v>418</v>
      </c>
      <c r="J10" s="10"/>
      <c r="K10" s="10"/>
      <c r="L10" s="10"/>
      <c r="M10" s="10"/>
      <c r="N10" s="15" t="s">
        <v>419</v>
      </c>
      <c r="O10" s="30">
        <v>1</v>
      </c>
      <c r="P10" s="10"/>
      <c r="Q10" s="10"/>
    </row>
    <row r="11" spans="1:19" x14ac:dyDescent="0.25">
      <c r="A11" s="63" t="s">
        <v>88</v>
      </c>
      <c r="B11" s="63" t="s">
        <v>424</v>
      </c>
      <c r="C11" s="63" t="s">
        <v>290</v>
      </c>
      <c r="D11" s="116" t="s">
        <v>400</v>
      </c>
      <c r="E11" s="63" t="s">
        <v>432</v>
      </c>
      <c r="F11" s="128" t="s">
        <v>383</v>
      </c>
      <c r="G11" s="127" t="s">
        <v>9</v>
      </c>
      <c r="H11" s="63" t="s">
        <v>434</v>
      </c>
      <c r="I11" s="10"/>
      <c r="J11" s="10"/>
      <c r="K11" s="10"/>
      <c r="L11" s="10"/>
      <c r="M11" s="10"/>
      <c r="N11" s="134"/>
      <c r="O11" s="30">
        <v>1</v>
      </c>
      <c r="P11" s="10"/>
      <c r="Q11" s="10"/>
    </row>
    <row r="12" spans="1:19" x14ac:dyDescent="0.25">
      <c r="A12" s="63" t="s">
        <v>88</v>
      </c>
      <c r="B12" s="63" t="s">
        <v>424</v>
      </c>
      <c r="C12" s="63" t="s">
        <v>292</v>
      </c>
      <c r="D12" s="116" t="s">
        <v>401</v>
      </c>
      <c r="E12" s="63" t="s">
        <v>433</v>
      </c>
      <c r="F12" s="128" t="s">
        <v>383</v>
      </c>
      <c r="G12" s="127" t="s">
        <v>9</v>
      </c>
      <c r="H12" s="63" t="s">
        <v>435</v>
      </c>
      <c r="I12" s="10"/>
      <c r="J12" s="10"/>
      <c r="K12" s="10"/>
      <c r="L12" s="10"/>
      <c r="M12" s="10"/>
      <c r="N12" s="10"/>
      <c r="O12" s="30">
        <v>1</v>
      </c>
      <c r="P12" s="10"/>
      <c r="Q12" s="10"/>
    </row>
    <row r="13" spans="1:19" x14ac:dyDescent="0.25">
      <c r="A13" s="107" t="s">
        <v>88</v>
      </c>
      <c r="B13" s="107" t="s">
        <v>368</v>
      </c>
      <c r="C13" s="107" t="s">
        <v>319</v>
      </c>
      <c r="D13" s="128" t="s">
        <v>402</v>
      </c>
      <c r="E13" s="107" t="s">
        <v>421</v>
      </c>
      <c r="F13" s="128" t="s">
        <v>383</v>
      </c>
      <c r="G13" s="10" t="s">
        <v>9</v>
      </c>
      <c r="H13" s="127" t="s">
        <v>422</v>
      </c>
      <c r="I13" s="10"/>
      <c r="J13" s="10"/>
      <c r="K13" s="10"/>
      <c r="L13" s="10"/>
      <c r="M13" s="10"/>
      <c r="N13" s="10"/>
      <c r="O13" s="30">
        <v>1</v>
      </c>
      <c r="P13" s="10"/>
      <c r="Q13" s="10"/>
    </row>
    <row r="14" spans="1:19" x14ac:dyDescent="0.25">
      <c r="A14" s="178" t="s">
        <v>88</v>
      </c>
      <c r="B14" s="178" t="s">
        <v>89</v>
      </c>
      <c r="C14" s="178" t="s">
        <v>113</v>
      </c>
      <c r="D14" s="128" t="s">
        <v>643</v>
      </c>
      <c r="E14" s="178" t="s">
        <v>403</v>
      </c>
      <c r="F14" s="179" t="s">
        <v>383</v>
      </c>
      <c r="G14" s="180" t="s">
        <v>9</v>
      </c>
      <c r="H14" s="178" t="s">
        <v>404</v>
      </c>
      <c r="I14" s="178"/>
      <c r="J14" s="178"/>
      <c r="K14" s="178"/>
      <c r="L14" s="178"/>
      <c r="M14" s="178"/>
      <c r="N14" s="178"/>
      <c r="O14" s="181" t="s">
        <v>384</v>
      </c>
      <c r="P14" s="182" t="s">
        <v>385</v>
      </c>
      <c r="Q14" s="183"/>
    </row>
    <row r="15" spans="1:19" ht="14.45" customHeight="1" x14ac:dyDescent="0.25">
      <c r="A15" s="167" t="s">
        <v>88</v>
      </c>
      <c r="B15" s="167" t="s">
        <v>89</v>
      </c>
      <c r="C15" s="167" t="s">
        <v>115</v>
      </c>
      <c r="D15" s="128" t="s">
        <v>644</v>
      </c>
      <c r="E15" s="167" t="s">
        <v>616</v>
      </c>
      <c r="F15" s="184" t="s">
        <v>383</v>
      </c>
      <c r="G15" s="185" t="s">
        <v>9</v>
      </c>
      <c r="H15" s="167" t="s">
        <v>617</v>
      </c>
      <c r="I15" s="167"/>
      <c r="J15" s="167"/>
      <c r="K15" s="167"/>
      <c r="L15" s="167"/>
      <c r="M15" s="167"/>
      <c r="N15" s="167"/>
      <c r="O15" s="186" t="s">
        <v>384</v>
      </c>
      <c r="P15" s="182" t="s">
        <v>385</v>
      </c>
      <c r="Q15" s="187"/>
    </row>
    <row r="16" spans="1:19" ht="25.5" x14ac:dyDescent="0.25">
      <c r="A16" s="167" t="s">
        <v>88</v>
      </c>
      <c r="B16" s="167" t="s">
        <v>89</v>
      </c>
      <c r="C16" s="167" t="s">
        <v>117</v>
      </c>
      <c r="D16" s="128" t="s">
        <v>645</v>
      </c>
      <c r="E16" s="167" t="s">
        <v>618</v>
      </c>
      <c r="F16" s="184" t="s">
        <v>383</v>
      </c>
      <c r="G16" s="185" t="s">
        <v>42</v>
      </c>
      <c r="H16" s="167" t="s">
        <v>619</v>
      </c>
      <c r="I16" s="167"/>
      <c r="J16" s="167"/>
      <c r="K16" s="188"/>
      <c r="L16" s="188" t="s">
        <v>90</v>
      </c>
      <c r="M16" s="117" t="s">
        <v>98</v>
      </c>
      <c r="N16" s="188"/>
      <c r="O16" s="186" t="s">
        <v>384</v>
      </c>
      <c r="P16" s="182" t="s">
        <v>385</v>
      </c>
      <c r="Q16" s="189"/>
    </row>
    <row r="17" spans="1:17" ht="43.15" customHeight="1" x14ac:dyDescent="0.25">
      <c r="A17" s="200" t="s">
        <v>88</v>
      </c>
      <c r="B17" s="167" t="s">
        <v>89</v>
      </c>
      <c r="C17" s="167" t="s">
        <v>119</v>
      </c>
      <c r="D17" s="128" t="s">
        <v>646</v>
      </c>
      <c r="E17" s="167" t="s">
        <v>620</v>
      </c>
      <c r="F17" s="184" t="s">
        <v>383</v>
      </c>
      <c r="G17" s="185" t="s">
        <v>621</v>
      </c>
      <c r="H17" s="167" t="s">
        <v>622</v>
      </c>
      <c r="I17" s="167"/>
      <c r="J17" s="167"/>
      <c r="K17" s="167"/>
      <c r="L17" s="167"/>
      <c r="M17" s="167"/>
      <c r="N17" s="167" t="s">
        <v>623</v>
      </c>
      <c r="O17" s="186" t="s">
        <v>624</v>
      </c>
      <c r="P17" s="182" t="s">
        <v>385</v>
      </c>
      <c r="Q17" s="187" t="s">
        <v>260</v>
      </c>
    </row>
    <row r="18" spans="1:17" ht="14.45" customHeight="1" x14ac:dyDescent="0.25">
      <c r="A18" s="167" t="s">
        <v>88</v>
      </c>
      <c r="B18" s="167" t="s">
        <v>90</v>
      </c>
      <c r="C18" s="167" t="s">
        <v>98</v>
      </c>
      <c r="D18" s="128" t="s">
        <v>627</v>
      </c>
      <c r="E18" s="167" t="s">
        <v>625</v>
      </c>
      <c r="F18" s="184" t="s">
        <v>383</v>
      </c>
      <c r="G18" s="185" t="s">
        <v>39</v>
      </c>
      <c r="H18" s="167" t="s">
        <v>626</v>
      </c>
      <c r="I18" s="167"/>
      <c r="J18" s="167"/>
      <c r="K18" s="167"/>
      <c r="L18" s="167"/>
      <c r="M18" s="167"/>
      <c r="N18" s="167"/>
      <c r="O18" s="186" t="s">
        <v>384</v>
      </c>
      <c r="P18" s="182" t="s">
        <v>385</v>
      </c>
      <c r="Q18" s="187"/>
    </row>
    <row r="19" spans="1:17" ht="25.5" x14ac:dyDescent="0.25">
      <c r="A19" s="201" t="s">
        <v>88</v>
      </c>
      <c r="B19" s="201" t="s">
        <v>90</v>
      </c>
      <c r="C19" s="201" t="s">
        <v>180</v>
      </c>
      <c r="D19" s="128" t="s">
        <v>647</v>
      </c>
      <c r="E19" s="201" t="s">
        <v>628</v>
      </c>
      <c r="F19" s="199" t="s">
        <v>383</v>
      </c>
      <c r="G19" s="202" t="s">
        <v>53</v>
      </c>
      <c r="H19" s="201" t="s">
        <v>629</v>
      </c>
      <c r="I19" s="167" t="s">
        <v>630</v>
      </c>
      <c r="J19" s="167"/>
      <c r="K19" s="201" t="s">
        <v>631</v>
      </c>
      <c r="L19" s="203"/>
      <c r="M19" s="203"/>
      <c r="N19" s="203"/>
      <c r="O19" s="204" t="s">
        <v>384</v>
      </c>
      <c r="P19" s="182" t="s">
        <v>385</v>
      </c>
      <c r="Q19" s="187"/>
    </row>
    <row r="20" spans="1:17" ht="285" x14ac:dyDescent="0.25">
      <c r="A20" s="205" t="s">
        <v>88</v>
      </c>
      <c r="B20" s="160" t="s">
        <v>89</v>
      </c>
      <c r="C20" s="160" t="s">
        <v>98</v>
      </c>
      <c r="D20" s="116" t="s">
        <v>648</v>
      </c>
      <c r="E20" s="160" t="s">
        <v>632</v>
      </c>
      <c r="F20" s="190" t="s">
        <v>383</v>
      </c>
      <c r="G20" s="191" t="s">
        <v>53</v>
      </c>
      <c r="H20" s="167" t="s">
        <v>633</v>
      </c>
      <c r="I20" s="167" t="s">
        <v>634</v>
      </c>
      <c r="J20" s="160"/>
      <c r="K20" s="192" t="s">
        <v>635</v>
      </c>
      <c r="L20" s="193"/>
      <c r="M20" s="193"/>
      <c r="N20" s="193"/>
      <c r="O20" s="186" t="s">
        <v>384</v>
      </c>
      <c r="P20" s="182" t="s">
        <v>385</v>
      </c>
      <c r="Q20" s="187" t="s">
        <v>260</v>
      </c>
    </row>
    <row r="21" spans="1:17" ht="75" x14ac:dyDescent="0.25">
      <c r="A21" s="206" t="s">
        <v>88</v>
      </c>
      <c r="B21" s="198" t="s">
        <v>90</v>
      </c>
      <c r="C21" s="197" t="s">
        <v>98</v>
      </c>
      <c r="D21" s="128" t="s">
        <v>649</v>
      </c>
      <c r="E21" s="198" t="s">
        <v>637</v>
      </c>
      <c r="F21" s="199" t="s">
        <v>383</v>
      </c>
      <c r="G21" s="202" t="s">
        <v>53</v>
      </c>
      <c r="H21" s="189" t="s">
        <v>638</v>
      </c>
      <c r="I21" s="10"/>
      <c r="J21" s="10"/>
      <c r="K21" s="195" t="s">
        <v>639</v>
      </c>
      <c r="L21" s="10"/>
      <c r="M21" s="10"/>
      <c r="N21" s="10"/>
      <c r="O21" s="196" t="s">
        <v>636</v>
      </c>
      <c r="P21" s="182" t="s">
        <v>385</v>
      </c>
      <c r="Q21" s="187" t="s">
        <v>260</v>
      </c>
    </row>
    <row r="22" spans="1:17" ht="90" x14ac:dyDescent="0.25">
      <c r="A22" s="207" t="s">
        <v>88</v>
      </c>
      <c r="B22" s="160" t="s">
        <v>89</v>
      </c>
      <c r="C22" s="194" t="s">
        <v>98</v>
      </c>
      <c r="D22" s="128" t="s">
        <v>650</v>
      </c>
      <c r="E22" s="152" t="s">
        <v>640</v>
      </c>
      <c r="F22" s="184" t="s">
        <v>383</v>
      </c>
      <c r="G22" s="185" t="s">
        <v>53</v>
      </c>
      <c r="H22" s="189" t="s">
        <v>641</v>
      </c>
      <c r="I22" s="10"/>
      <c r="J22" s="10"/>
      <c r="K22" s="195" t="s">
        <v>642</v>
      </c>
      <c r="L22" s="10"/>
      <c r="M22" s="10"/>
      <c r="N22" s="10"/>
      <c r="O22" s="196" t="s">
        <v>636</v>
      </c>
      <c r="P22" s="182" t="s">
        <v>385</v>
      </c>
      <c r="Q22" s="187" t="s">
        <v>260</v>
      </c>
    </row>
    <row r="23" spans="1:17" ht="60" x14ac:dyDescent="0.25">
      <c r="A23" s="10" t="s">
        <v>88</v>
      </c>
      <c r="B23" s="198" t="s">
        <v>90</v>
      </c>
      <c r="C23" s="194" t="s">
        <v>182</v>
      </c>
      <c r="D23" s="128" t="s">
        <v>651</v>
      </c>
      <c r="E23" s="194" t="s">
        <v>653</v>
      </c>
      <c r="F23" s="199" t="s">
        <v>383</v>
      </c>
      <c r="G23" s="10" t="s">
        <v>49</v>
      </c>
      <c r="H23" s="15" t="s">
        <v>654</v>
      </c>
      <c r="I23" s="15" t="s">
        <v>652</v>
      </c>
      <c r="J23" s="10"/>
      <c r="K23" s="10"/>
      <c r="L23" s="10"/>
      <c r="M23" s="10"/>
      <c r="N23" s="15" t="s">
        <v>652</v>
      </c>
      <c r="O23" s="10">
        <v>1</v>
      </c>
      <c r="P23" s="10"/>
      <c r="Q23" s="10"/>
    </row>
  </sheetData>
  <autoFilter ref="A2:Q23"/>
  <conditionalFormatting sqref="P1 P14:P22 P3">
    <cfRule type="containsText" dxfId="6" priority="19" operator="containsText" text="Error:">
      <formula>NOT(ISERROR(SEARCH("Error:",P1)))</formula>
    </cfRule>
  </conditionalFormatting>
  <conditionalFormatting sqref="P19">
    <cfRule type="containsText" dxfId="5" priority="9" operator="containsText" text="Error:">
      <formula>NOT(ISERROR(SEARCH("Error:",P19)))</formula>
    </cfRule>
  </conditionalFormatting>
  <conditionalFormatting sqref="P20">
    <cfRule type="containsText" dxfId="4" priority="8" operator="containsText" text="Error:">
      <formula>NOT(ISERROR(SEARCH("Error:",P20)))</formula>
    </cfRule>
  </conditionalFormatting>
  <conditionalFormatting sqref="P21">
    <cfRule type="containsText" dxfId="3" priority="3" operator="containsText" text="Error:">
      <formula>NOT(ISERROR(SEARCH("Error:",P21)))</formula>
    </cfRule>
  </conditionalFormatting>
  <conditionalFormatting sqref="P22">
    <cfRule type="containsText" dxfId="2" priority="2" operator="containsText" text="Error:">
      <formula>NOT(ISERROR(SEARCH("Error:",P22)))</formula>
    </cfRule>
  </conditionalFormatting>
  <conditionalFormatting sqref="D3:D23">
    <cfRule type="duplicateValues" dxfId="1" priority="33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cols>
    <col min="1" max="2" width="22.28515625" customWidth="1"/>
  </cols>
  <sheetData>
    <row r="1" spans="1:4" x14ac:dyDescent="0.25">
      <c r="A1" s="45"/>
      <c r="B1" s="45"/>
      <c r="C1" s="143" t="str">
        <f>HYPERLINK("#Config!$A$1","Config")</f>
        <v>Config</v>
      </c>
      <c r="D1" s="45"/>
    </row>
    <row r="2" spans="1:4" x14ac:dyDescent="0.25">
      <c r="A2" s="144" t="s">
        <v>86</v>
      </c>
      <c r="B2" s="224" t="s">
        <v>74</v>
      </c>
      <c r="C2" s="224" t="s">
        <v>87</v>
      </c>
      <c r="D2" s="224" t="s">
        <v>84</v>
      </c>
    </row>
    <row r="3" spans="1:4" x14ac:dyDescent="0.25">
      <c r="A3" s="29" t="str">
        <f>HYPERLINK(CONCATENATE("#",B3,"!$A$1"),B3)</f>
        <v>KPI_BSS_CUSTOMER</v>
      </c>
      <c r="B3" s="10" t="s">
        <v>442</v>
      </c>
      <c r="C3" s="10" t="s">
        <v>443</v>
      </c>
      <c r="D3" s="145" t="s">
        <v>85</v>
      </c>
    </row>
    <row r="4" spans="1:4" x14ac:dyDescent="0.25">
      <c r="A4" s="29" t="str">
        <f>HYPERLINK(CONCATENATE("#",B4,"!$A$1"),B4)</f>
        <v>KPI_BSS_INDIVIDUAL</v>
      </c>
      <c r="B4" s="10" t="s">
        <v>444</v>
      </c>
      <c r="C4" s="10" t="s">
        <v>443</v>
      </c>
      <c r="D4" s="145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A3" sqref="A3"/>
    </sheetView>
  </sheetViews>
  <sheetFormatPr defaultRowHeight="15" x14ac:dyDescent="0.25"/>
  <cols>
    <col min="1" max="1" width="17.7109375" customWidth="1"/>
    <col min="2" max="2" width="44.42578125" customWidth="1"/>
    <col min="3" max="3" width="17.7109375" customWidth="1"/>
    <col min="4" max="4" width="44.42578125" customWidth="1"/>
  </cols>
  <sheetData>
    <row r="1" spans="1:4" x14ac:dyDescent="0.25">
      <c r="A1" s="225" t="s">
        <v>92</v>
      </c>
      <c r="B1" s="40" t="s">
        <v>442</v>
      </c>
      <c r="D1" s="148" t="str">
        <f>HYPERLINK("#IDB_PostFallout_Level1!$A$1","Return to Index")</f>
        <v>Return to Index</v>
      </c>
    </row>
    <row r="2" spans="1:4" x14ac:dyDescent="0.25">
      <c r="A2" s="225" t="s">
        <v>93</v>
      </c>
      <c r="B2" s="40" t="s">
        <v>88</v>
      </c>
      <c r="D2" s="149" t="s">
        <v>94</v>
      </c>
    </row>
    <row r="3" spans="1:4" ht="26.25" x14ac:dyDescent="0.25">
      <c r="A3" s="225" t="s">
        <v>95</v>
      </c>
      <c r="B3" s="33"/>
      <c r="D3" s="150"/>
    </row>
    <row r="4" spans="1:4" x14ac:dyDescent="0.25">
      <c r="A4" s="225" t="s">
        <v>270</v>
      </c>
      <c r="B4" s="33"/>
      <c r="D4" s="150"/>
    </row>
    <row r="5" spans="1:4" x14ac:dyDescent="0.25">
      <c r="A5" s="225" t="s">
        <v>96</v>
      </c>
      <c r="B5" s="40"/>
      <c r="D5" s="150"/>
    </row>
    <row r="6" spans="1:4" x14ac:dyDescent="0.25">
      <c r="A6" s="225" t="s">
        <v>97</v>
      </c>
      <c r="B6" s="10" t="s">
        <v>449</v>
      </c>
      <c r="D6" s="150"/>
    </row>
    <row r="7" spans="1:4" ht="25.5" x14ac:dyDescent="0.25">
      <c r="A7" s="225" t="s">
        <v>366</v>
      </c>
      <c r="B7" s="40" t="s">
        <v>472</v>
      </c>
      <c r="D7" s="150"/>
    </row>
    <row r="8" spans="1:4" x14ac:dyDescent="0.25">
      <c r="A8" s="225" t="s">
        <v>99</v>
      </c>
      <c r="B8" s="33" t="s">
        <v>446</v>
      </c>
      <c r="D8" s="150"/>
    </row>
    <row r="9" spans="1:4" x14ac:dyDescent="0.25">
      <c r="A9" s="225" t="s">
        <v>100</v>
      </c>
      <c r="B9" s="33"/>
      <c r="D9" s="150"/>
    </row>
    <row r="10" spans="1:4" ht="105" x14ac:dyDescent="0.25">
      <c r="A10" s="225" t="s">
        <v>101</v>
      </c>
      <c r="B10" s="91" t="s">
        <v>467</v>
      </c>
      <c r="D10" s="150"/>
    </row>
    <row r="11" spans="1:4" x14ac:dyDescent="0.25">
      <c r="A11" s="39" t="s">
        <v>77</v>
      </c>
      <c r="B11" s="43"/>
      <c r="D11" s="150"/>
    </row>
    <row r="12" spans="1:4" x14ac:dyDescent="0.25">
      <c r="A12" s="225" t="s">
        <v>102</v>
      </c>
      <c r="B12" s="10"/>
      <c r="D12" s="150"/>
    </row>
    <row r="13" spans="1:4" x14ac:dyDescent="0.25">
      <c r="D13" s="150"/>
    </row>
    <row r="14" spans="1:4" x14ac:dyDescent="0.25">
      <c r="A14" s="220" t="s">
        <v>107</v>
      </c>
      <c r="B14" s="220" t="s">
        <v>108</v>
      </c>
      <c r="C14" s="220" t="s">
        <v>109</v>
      </c>
      <c r="D14" s="226" t="s">
        <v>110</v>
      </c>
    </row>
    <row r="15" spans="1:4" x14ac:dyDescent="0.25">
      <c r="A15" s="10" t="s">
        <v>449</v>
      </c>
      <c r="B15" s="10" t="s">
        <v>464</v>
      </c>
      <c r="C15" s="10"/>
      <c r="D15" s="10" t="s">
        <v>449</v>
      </c>
    </row>
    <row r="16" spans="1:4" ht="30" x14ac:dyDescent="0.25">
      <c r="A16" s="10" t="s">
        <v>451</v>
      </c>
      <c r="B16" s="15" t="s">
        <v>452</v>
      </c>
      <c r="C16" s="151"/>
      <c r="D16" s="10" t="s">
        <v>451</v>
      </c>
    </row>
    <row r="17" spans="1:4" x14ac:dyDescent="0.25">
      <c r="A17" s="10" t="s">
        <v>453</v>
      </c>
      <c r="B17" s="10" t="s">
        <v>454</v>
      </c>
      <c r="C17" s="151"/>
      <c r="D17" s="10" t="s">
        <v>453</v>
      </c>
    </row>
    <row r="18" spans="1:4" x14ac:dyDescent="0.25">
      <c r="A18" s="10" t="s">
        <v>455</v>
      </c>
      <c r="B18" s="10" t="s">
        <v>456</v>
      </c>
      <c r="C18" s="151"/>
      <c r="D18" s="152" t="s">
        <v>462</v>
      </c>
    </row>
    <row r="19" spans="1:4" x14ac:dyDescent="0.25">
      <c r="A19" s="10" t="s">
        <v>458</v>
      </c>
      <c r="B19" s="10" t="s">
        <v>456</v>
      </c>
      <c r="C19" s="151"/>
      <c r="D19" s="10" t="s">
        <v>468</v>
      </c>
    </row>
    <row r="20" spans="1:4" x14ac:dyDescent="0.25">
      <c r="A20" s="10" t="s">
        <v>459</v>
      </c>
      <c r="B20" s="10" t="s">
        <v>456</v>
      </c>
      <c r="C20" s="151"/>
      <c r="D20" s="10" t="s">
        <v>465</v>
      </c>
    </row>
    <row r="21" spans="1:4" x14ac:dyDescent="0.25">
      <c r="A21" s="10" t="s">
        <v>460</v>
      </c>
      <c r="B21" s="10" t="s">
        <v>456</v>
      </c>
      <c r="C21" s="151"/>
      <c r="D21" s="10" t="s">
        <v>466</v>
      </c>
    </row>
    <row r="22" spans="1:4" x14ac:dyDescent="0.25">
      <c r="A22" s="152" t="s">
        <v>461</v>
      </c>
      <c r="B22" s="152" t="s">
        <v>456</v>
      </c>
      <c r="C22" s="10"/>
      <c r="D22" s="152" t="s">
        <v>462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F19" sqref="F19"/>
    </sheetView>
  </sheetViews>
  <sheetFormatPr defaultRowHeight="15" x14ac:dyDescent="0.25"/>
  <cols>
    <col min="1" max="1" width="17.7109375" customWidth="1"/>
    <col min="2" max="2" width="44.42578125" customWidth="1"/>
    <col min="3" max="3" width="17.7109375" customWidth="1"/>
    <col min="4" max="4" width="53.28515625" customWidth="1"/>
  </cols>
  <sheetData>
    <row r="1" spans="1:4" x14ac:dyDescent="0.25">
      <c r="A1" s="225" t="s">
        <v>92</v>
      </c>
      <c r="B1" s="40" t="s">
        <v>444</v>
      </c>
      <c r="D1" s="148" t="str">
        <f>HYPERLINK("#IDB_PostFallout_Level1!$A$1","Return to Index")</f>
        <v>Return to Index</v>
      </c>
    </row>
    <row r="2" spans="1:4" x14ac:dyDescent="0.25">
      <c r="A2" s="225" t="s">
        <v>93</v>
      </c>
      <c r="B2" s="40" t="s">
        <v>88</v>
      </c>
      <c r="D2" s="149" t="s">
        <v>94</v>
      </c>
    </row>
    <row r="3" spans="1:4" ht="26.25" x14ac:dyDescent="0.25">
      <c r="A3" s="225" t="s">
        <v>95</v>
      </c>
      <c r="B3" s="33"/>
      <c r="D3" s="150"/>
    </row>
    <row r="4" spans="1:4" x14ac:dyDescent="0.25">
      <c r="A4" s="225" t="s">
        <v>270</v>
      </c>
      <c r="B4" s="33"/>
      <c r="D4" s="150"/>
    </row>
    <row r="5" spans="1:4" x14ac:dyDescent="0.25">
      <c r="A5" s="225" t="s">
        <v>96</v>
      </c>
      <c r="B5" s="40"/>
      <c r="D5" s="150"/>
    </row>
    <row r="6" spans="1:4" x14ac:dyDescent="0.25">
      <c r="A6" s="225" t="s">
        <v>97</v>
      </c>
      <c r="B6" s="10" t="s">
        <v>449</v>
      </c>
      <c r="D6" s="150"/>
    </row>
    <row r="7" spans="1:4" ht="25.5" x14ac:dyDescent="0.25">
      <c r="A7" s="225" t="s">
        <v>366</v>
      </c>
      <c r="B7" s="40" t="s">
        <v>473</v>
      </c>
      <c r="D7" s="150"/>
    </row>
    <row r="8" spans="1:4" x14ac:dyDescent="0.25">
      <c r="A8" s="225" t="s">
        <v>99</v>
      </c>
      <c r="B8" s="33" t="s">
        <v>446</v>
      </c>
      <c r="D8" s="150"/>
    </row>
    <row r="9" spans="1:4" x14ac:dyDescent="0.25">
      <c r="A9" s="225" t="s">
        <v>100</v>
      </c>
      <c r="B9" s="33"/>
      <c r="D9" s="150"/>
    </row>
    <row r="10" spans="1:4" ht="105" x14ac:dyDescent="0.25">
      <c r="A10" s="225" t="s">
        <v>101</v>
      </c>
      <c r="B10" s="91" t="s">
        <v>476</v>
      </c>
      <c r="D10" s="150"/>
    </row>
    <row r="11" spans="1:4" x14ac:dyDescent="0.25">
      <c r="A11" s="39" t="s">
        <v>77</v>
      </c>
      <c r="B11" s="43"/>
      <c r="D11" s="150"/>
    </row>
    <row r="12" spans="1:4" x14ac:dyDescent="0.25">
      <c r="A12" s="225" t="s">
        <v>102</v>
      </c>
      <c r="B12" s="10"/>
      <c r="D12" s="150"/>
    </row>
    <row r="13" spans="1:4" x14ac:dyDescent="0.25">
      <c r="D13" s="150"/>
    </row>
    <row r="14" spans="1:4" x14ac:dyDescent="0.25">
      <c r="A14" s="220" t="s">
        <v>107</v>
      </c>
      <c r="B14" s="220" t="s">
        <v>108</v>
      </c>
      <c r="C14" s="220" t="s">
        <v>109</v>
      </c>
      <c r="D14" s="226" t="s">
        <v>110</v>
      </c>
    </row>
    <row r="15" spans="1:4" x14ac:dyDescent="0.25">
      <c r="A15" s="10" t="s">
        <v>449</v>
      </c>
      <c r="B15" s="10" t="s">
        <v>464</v>
      </c>
      <c r="C15" s="10"/>
      <c r="D15" s="10" t="s">
        <v>449</v>
      </c>
    </row>
    <row r="16" spans="1:4" ht="30" x14ac:dyDescent="0.25">
      <c r="A16" s="10" t="s">
        <v>451</v>
      </c>
      <c r="B16" s="15" t="s">
        <v>452</v>
      </c>
      <c r="C16" s="151"/>
      <c r="D16" s="10" t="s">
        <v>451</v>
      </c>
    </row>
    <row r="17" spans="1:4" x14ac:dyDescent="0.25">
      <c r="A17" s="10" t="s">
        <v>453</v>
      </c>
      <c r="B17" s="10" t="s">
        <v>454</v>
      </c>
      <c r="C17" s="151"/>
      <c r="D17" s="10" t="s">
        <v>453</v>
      </c>
    </row>
    <row r="18" spans="1:4" x14ac:dyDescent="0.25">
      <c r="A18" s="10" t="s">
        <v>455</v>
      </c>
      <c r="B18" s="10" t="s">
        <v>456</v>
      </c>
      <c r="C18" s="151"/>
      <c r="D18" s="152" t="s">
        <v>462</v>
      </c>
    </row>
    <row r="19" spans="1:4" x14ac:dyDescent="0.25">
      <c r="A19" s="10" t="s">
        <v>458</v>
      </c>
      <c r="B19" s="10" t="s">
        <v>456</v>
      </c>
      <c r="C19" s="151"/>
      <c r="D19" s="10" t="s">
        <v>468</v>
      </c>
    </row>
    <row r="20" spans="1:4" x14ac:dyDescent="0.25">
      <c r="A20" s="10" t="s">
        <v>459</v>
      </c>
      <c r="B20" s="10" t="s">
        <v>456</v>
      </c>
      <c r="C20" s="151"/>
      <c r="D20" s="10" t="s">
        <v>469</v>
      </c>
    </row>
    <row r="21" spans="1:4" x14ac:dyDescent="0.25">
      <c r="A21" s="10" t="s">
        <v>460</v>
      </c>
      <c r="B21" s="10" t="s">
        <v>456</v>
      </c>
      <c r="C21" s="151"/>
      <c r="D21" s="10" t="s">
        <v>470</v>
      </c>
    </row>
    <row r="22" spans="1:4" x14ac:dyDescent="0.25">
      <c r="A22" s="152" t="s">
        <v>461</v>
      </c>
      <c r="B22" s="152" t="s">
        <v>456</v>
      </c>
      <c r="C22" s="10"/>
      <c r="D22" s="152" t="s">
        <v>462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4" sqref="A4"/>
    </sheetView>
  </sheetViews>
  <sheetFormatPr defaultRowHeight="15" x14ac:dyDescent="0.25"/>
  <cols>
    <col min="1" max="2" width="22.28515625" customWidth="1"/>
  </cols>
  <sheetData>
    <row r="1" spans="1:4" x14ac:dyDescent="0.25">
      <c r="A1" s="45"/>
      <c r="B1" s="45"/>
      <c r="C1" s="143" t="str">
        <f>HYPERLINK("#Config!$A$1","Config")</f>
        <v>Config</v>
      </c>
      <c r="D1" s="45"/>
    </row>
    <row r="2" spans="1:4" x14ac:dyDescent="0.25">
      <c r="A2" s="144" t="s">
        <v>86</v>
      </c>
      <c r="B2" s="224" t="s">
        <v>74</v>
      </c>
      <c r="C2" s="224" t="s">
        <v>87</v>
      </c>
      <c r="D2" s="224" t="s">
        <v>84</v>
      </c>
    </row>
    <row r="3" spans="1:4" x14ac:dyDescent="0.25">
      <c r="A3" s="146" t="s">
        <v>445</v>
      </c>
      <c r="B3" s="147" t="s">
        <v>445</v>
      </c>
      <c r="C3" s="147" t="s">
        <v>71</v>
      </c>
      <c r="D3" s="147"/>
    </row>
    <row r="4" spans="1:4" x14ac:dyDescent="0.25">
      <c r="A4" s="146" t="s">
        <v>671</v>
      </c>
      <c r="B4" s="147" t="s">
        <v>671</v>
      </c>
      <c r="C4" s="147" t="s">
        <v>71</v>
      </c>
      <c r="D4" s="147"/>
    </row>
  </sheetData>
  <hyperlinks>
    <hyperlink ref="A3" location="KPI_REPORT!A1" display="KPI_REPORT"/>
    <hyperlink ref="A4" location="KPI_REPORT_2!A1" display="KPI_REPORT_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D1" sqref="D1"/>
    </sheetView>
  </sheetViews>
  <sheetFormatPr defaultRowHeight="15" x14ac:dyDescent="0.25"/>
  <cols>
    <col min="1" max="1" width="17.7109375" customWidth="1"/>
    <col min="2" max="2" width="55.7109375" customWidth="1"/>
    <col min="3" max="4" width="17.7109375" customWidth="1"/>
  </cols>
  <sheetData>
    <row r="1" spans="1:4" x14ac:dyDescent="0.25">
      <c r="A1" s="225" t="s">
        <v>92</v>
      </c>
      <c r="B1" s="40" t="s">
        <v>445</v>
      </c>
      <c r="D1" s="148" t="str">
        <f>HYPERLINK("#IDB_PostFallout_Level1!$A$1","Return to Index")</f>
        <v>Return to Index</v>
      </c>
    </row>
    <row r="2" spans="1:4" x14ac:dyDescent="0.25">
      <c r="A2" s="225" t="s">
        <v>93</v>
      </c>
      <c r="B2" s="40"/>
      <c r="D2" s="149" t="s">
        <v>94</v>
      </c>
    </row>
    <row r="3" spans="1:4" ht="26.25" x14ac:dyDescent="0.25">
      <c r="A3" s="225" t="s">
        <v>95</v>
      </c>
      <c r="B3" s="33"/>
      <c r="D3" s="150"/>
    </row>
    <row r="4" spans="1:4" x14ac:dyDescent="0.25">
      <c r="A4" s="225" t="s">
        <v>270</v>
      </c>
      <c r="B4" s="33"/>
      <c r="D4" s="150"/>
    </row>
    <row r="5" spans="1:4" x14ac:dyDescent="0.25">
      <c r="A5" s="225" t="s">
        <v>96</v>
      </c>
      <c r="B5" s="40"/>
      <c r="D5" s="150"/>
    </row>
    <row r="6" spans="1:4" x14ac:dyDescent="0.25">
      <c r="A6" s="225" t="s">
        <v>97</v>
      </c>
      <c r="B6" s="10" t="s">
        <v>449</v>
      </c>
      <c r="D6" s="150"/>
    </row>
    <row r="7" spans="1:4" x14ac:dyDescent="0.25">
      <c r="A7" s="225" t="s">
        <v>366</v>
      </c>
      <c r="B7" s="40" t="s">
        <v>471</v>
      </c>
      <c r="D7" s="150"/>
    </row>
    <row r="8" spans="1:4" x14ac:dyDescent="0.25">
      <c r="A8" s="225" t="s">
        <v>99</v>
      </c>
      <c r="B8" s="33" t="s">
        <v>446</v>
      </c>
      <c r="D8" s="150"/>
    </row>
    <row r="9" spans="1:4" x14ac:dyDescent="0.25">
      <c r="A9" s="225" t="s">
        <v>100</v>
      </c>
      <c r="B9" s="33"/>
      <c r="D9" s="150"/>
    </row>
    <row r="10" spans="1:4" ht="60" x14ac:dyDescent="0.25">
      <c r="A10" s="225" t="s">
        <v>101</v>
      </c>
      <c r="B10" s="91" t="s">
        <v>463</v>
      </c>
      <c r="D10" s="150"/>
    </row>
    <row r="11" spans="1:4" x14ac:dyDescent="0.25">
      <c r="A11" s="39" t="s">
        <v>77</v>
      </c>
      <c r="B11" s="43"/>
      <c r="D11" s="150"/>
    </row>
    <row r="12" spans="1:4" ht="39" x14ac:dyDescent="0.25">
      <c r="A12" s="225" t="s">
        <v>447</v>
      </c>
      <c r="B12" s="33" t="s">
        <v>448</v>
      </c>
      <c r="D12" s="150"/>
    </row>
    <row r="13" spans="1:4" ht="39" x14ac:dyDescent="0.25">
      <c r="A13" s="225" t="s">
        <v>447</v>
      </c>
      <c r="B13" s="33" t="s">
        <v>669</v>
      </c>
      <c r="D13" s="150"/>
    </row>
    <row r="14" spans="1:4" ht="39" x14ac:dyDescent="0.25">
      <c r="A14" s="225" t="s">
        <v>447</v>
      </c>
      <c r="B14" s="33" t="s">
        <v>670</v>
      </c>
      <c r="D14" s="150"/>
    </row>
    <row r="15" spans="1:4" x14ac:dyDescent="0.25">
      <c r="A15" s="227" t="s">
        <v>102</v>
      </c>
      <c r="D15" s="150"/>
    </row>
    <row r="16" spans="1:4" x14ac:dyDescent="0.25">
      <c r="D16" s="150"/>
    </row>
    <row r="17" spans="1:4" x14ac:dyDescent="0.25">
      <c r="A17" s="220" t="s">
        <v>107</v>
      </c>
      <c r="B17" s="220" t="s">
        <v>108</v>
      </c>
      <c r="C17" s="220" t="s">
        <v>109</v>
      </c>
      <c r="D17" s="226" t="s">
        <v>110</v>
      </c>
    </row>
    <row r="18" spans="1:4" x14ac:dyDescent="0.25">
      <c r="A18" s="10" t="s">
        <v>449</v>
      </c>
      <c r="B18" s="10" t="s">
        <v>450</v>
      </c>
      <c r="C18" s="10"/>
      <c r="D18" s="10" t="s">
        <v>449</v>
      </c>
    </row>
    <row r="19" spans="1:4" x14ac:dyDescent="0.25">
      <c r="A19" s="10" t="s">
        <v>451</v>
      </c>
      <c r="B19" s="10" t="s">
        <v>452</v>
      </c>
      <c r="C19" s="151"/>
      <c r="D19" s="10" t="s">
        <v>451</v>
      </c>
    </row>
    <row r="20" spans="1:4" x14ac:dyDescent="0.25">
      <c r="A20" s="10" t="s">
        <v>453</v>
      </c>
      <c r="B20" s="10" t="s">
        <v>454</v>
      </c>
      <c r="C20" s="151"/>
      <c r="D20" s="10" t="s">
        <v>453</v>
      </c>
    </row>
    <row r="21" spans="1:4" x14ac:dyDescent="0.25">
      <c r="A21" s="10" t="s">
        <v>455</v>
      </c>
      <c r="B21" s="10" t="s">
        <v>456</v>
      </c>
      <c r="C21" s="151" t="s">
        <v>457</v>
      </c>
      <c r="D21" s="10" t="s">
        <v>455</v>
      </c>
    </row>
    <row r="22" spans="1:4" x14ac:dyDescent="0.25">
      <c r="A22" s="10" t="s">
        <v>458</v>
      </c>
      <c r="B22" s="10" t="s">
        <v>456</v>
      </c>
      <c r="C22" s="151" t="s">
        <v>457</v>
      </c>
      <c r="D22" s="10" t="s">
        <v>458</v>
      </c>
    </row>
    <row r="23" spans="1:4" x14ac:dyDescent="0.25">
      <c r="A23" s="10" t="s">
        <v>459</v>
      </c>
      <c r="B23" s="10" t="s">
        <v>456</v>
      </c>
      <c r="C23" s="151"/>
      <c r="D23" s="10" t="s">
        <v>459</v>
      </c>
    </row>
    <row r="24" spans="1:4" x14ac:dyDescent="0.25">
      <c r="A24" s="10" t="s">
        <v>460</v>
      </c>
      <c r="B24" s="10" t="s">
        <v>456</v>
      </c>
      <c r="C24" s="151"/>
      <c r="D24" s="10" t="s">
        <v>460</v>
      </c>
    </row>
    <row r="25" spans="1:4" x14ac:dyDescent="0.25">
      <c r="A25" s="152" t="s">
        <v>461</v>
      </c>
      <c r="B25" s="152" t="s">
        <v>456</v>
      </c>
      <c r="C25" s="10"/>
      <c r="D25" s="152" t="s">
        <v>462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B14" sqref="B14"/>
    </sheetView>
  </sheetViews>
  <sheetFormatPr defaultRowHeight="15" x14ac:dyDescent="0.25"/>
  <cols>
    <col min="1" max="1" width="17.7109375" customWidth="1"/>
    <col min="2" max="2" width="55.7109375" customWidth="1"/>
    <col min="3" max="4" width="17.7109375" customWidth="1"/>
  </cols>
  <sheetData>
    <row r="1" spans="1:4" x14ac:dyDescent="0.25">
      <c r="A1" s="225" t="s">
        <v>92</v>
      </c>
      <c r="B1" s="40" t="s">
        <v>673</v>
      </c>
      <c r="D1" s="148" t="str">
        <f>HYPERLINK("#IDB_PostFallout_Level1!$A$1","Return to Index")</f>
        <v>Return to Index</v>
      </c>
    </row>
    <row r="2" spans="1:4" x14ac:dyDescent="0.25">
      <c r="A2" s="225" t="s">
        <v>93</v>
      </c>
      <c r="B2" s="40"/>
      <c r="D2" s="149" t="s">
        <v>94</v>
      </c>
    </row>
    <row r="3" spans="1:4" ht="26.25" x14ac:dyDescent="0.25">
      <c r="A3" s="225" t="s">
        <v>95</v>
      </c>
      <c r="B3" s="33"/>
      <c r="D3" s="150"/>
    </row>
    <row r="4" spans="1:4" x14ac:dyDescent="0.25">
      <c r="A4" s="225" t="s">
        <v>270</v>
      </c>
      <c r="B4" s="33"/>
      <c r="D4" s="150"/>
    </row>
    <row r="5" spans="1:4" x14ac:dyDescent="0.25">
      <c r="A5" s="225" t="s">
        <v>96</v>
      </c>
      <c r="B5" s="40"/>
      <c r="D5" s="150"/>
    </row>
    <row r="6" spans="1:4" x14ac:dyDescent="0.25">
      <c r="A6" s="225" t="s">
        <v>97</v>
      </c>
      <c r="B6" s="10" t="s">
        <v>449</v>
      </c>
      <c r="D6" s="150"/>
    </row>
    <row r="7" spans="1:4" x14ac:dyDescent="0.25">
      <c r="A7" s="225" t="s">
        <v>366</v>
      </c>
      <c r="B7" s="40" t="s">
        <v>471</v>
      </c>
      <c r="D7" s="150"/>
    </row>
    <row r="8" spans="1:4" x14ac:dyDescent="0.25">
      <c r="A8" s="225" t="s">
        <v>99</v>
      </c>
      <c r="B8" s="33" t="s">
        <v>446</v>
      </c>
      <c r="D8" s="150"/>
    </row>
    <row r="9" spans="1:4" x14ac:dyDescent="0.25">
      <c r="A9" s="225" t="s">
        <v>100</v>
      </c>
      <c r="B9" s="33"/>
      <c r="D9" s="150"/>
    </row>
    <row r="10" spans="1:4" ht="60" x14ac:dyDescent="0.25">
      <c r="A10" s="225" t="s">
        <v>101</v>
      </c>
      <c r="B10" s="91" t="s">
        <v>463</v>
      </c>
      <c r="D10" s="150"/>
    </row>
    <row r="11" spans="1:4" x14ac:dyDescent="0.25">
      <c r="A11" s="39" t="s">
        <v>77</v>
      </c>
      <c r="B11" s="43"/>
      <c r="D11" s="150"/>
    </row>
    <row r="12" spans="1:4" ht="39" x14ac:dyDescent="0.25">
      <c r="A12" s="225" t="s">
        <v>447</v>
      </c>
      <c r="B12" s="33" t="s">
        <v>672</v>
      </c>
      <c r="D12" s="150"/>
    </row>
    <row r="13" spans="1:4" ht="39" x14ac:dyDescent="0.25">
      <c r="A13" s="225" t="s">
        <v>447</v>
      </c>
      <c r="B13" s="33" t="s">
        <v>674</v>
      </c>
      <c r="D13" s="150"/>
    </row>
    <row r="14" spans="1:4" ht="39" x14ac:dyDescent="0.25">
      <c r="A14" s="225" t="s">
        <v>447</v>
      </c>
      <c r="B14" s="33" t="s">
        <v>675</v>
      </c>
      <c r="D14" s="150"/>
    </row>
    <row r="15" spans="1:4" x14ac:dyDescent="0.25">
      <c r="A15" s="227" t="s">
        <v>102</v>
      </c>
      <c r="D15" s="150"/>
    </row>
    <row r="16" spans="1:4" x14ac:dyDescent="0.25">
      <c r="D16" s="150"/>
    </row>
    <row r="17" spans="1:4" x14ac:dyDescent="0.25">
      <c r="A17" s="220" t="s">
        <v>107</v>
      </c>
      <c r="B17" s="220" t="s">
        <v>108</v>
      </c>
      <c r="C17" s="220" t="s">
        <v>109</v>
      </c>
      <c r="D17" s="226" t="s">
        <v>110</v>
      </c>
    </row>
    <row r="18" spans="1:4" x14ac:dyDescent="0.25">
      <c r="A18" s="10" t="s">
        <v>449</v>
      </c>
      <c r="B18" s="10" t="s">
        <v>450</v>
      </c>
      <c r="C18" s="10"/>
      <c r="D18" s="10" t="s">
        <v>449</v>
      </c>
    </row>
    <row r="19" spans="1:4" x14ac:dyDescent="0.25">
      <c r="A19" s="10" t="s">
        <v>451</v>
      </c>
      <c r="B19" s="10" t="s">
        <v>452</v>
      </c>
      <c r="C19" s="151"/>
      <c r="D19" s="10" t="s">
        <v>451</v>
      </c>
    </row>
    <row r="20" spans="1:4" x14ac:dyDescent="0.25">
      <c r="A20" s="10" t="s">
        <v>453</v>
      </c>
      <c r="B20" s="10" t="s">
        <v>454</v>
      </c>
      <c r="C20" s="151"/>
      <c r="D20" s="10" t="s">
        <v>453</v>
      </c>
    </row>
    <row r="21" spans="1:4" x14ac:dyDescent="0.25">
      <c r="A21" s="10" t="s">
        <v>455</v>
      </c>
      <c r="B21" s="10" t="s">
        <v>456</v>
      </c>
      <c r="C21" s="151" t="s">
        <v>457</v>
      </c>
      <c r="D21" s="10" t="s">
        <v>455</v>
      </c>
    </row>
    <row r="22" spans="1:4" x14ac:dyDescent="0.25">
      <c r="A22" s="10" t="s">
        <v>458</v>
      </c>
      <c r="B22" s="10" t="s">
        <v>456</v>
      </c>
      <c r="C22" s="151" t="s">
        <v>457</v>
      </c>
      <c r="D22" s="10" t="s">
        <v>458</v>
      </c>
    </row>
    <row r="23" spans="1:4" x14ac:dyDescent="0.25">
      <c r="A23" s="10" t="s">
        <v>459</v>
      </c>
      <c r="B23" s="10" t="s">
        <v>456</v>
      </c>
      <c r="C23" s="151"/>
      <c r="D23" s="10" t="s">
        <v>459</v>
      </c>
    </row>
    <row r="24" spans="1:4" x14ac:dyDescent="0.25">
      <c r="A24" s="10" t="s">
        <v>460</v>
      </c>
      <c r="B24" s="10" t="s">
        <v>456</v>
      </c>
      <c r="C24" s="151"/>
      <c r="D24" s="10" t="s">
        <v>460</v>
      </c>
    </row>
    <row r="25" spans="1:4" x14ac:dyDescent="0.25">
      <c r="A25" s="152" t="s">
        <v>461</v>
      </c>
      <c r="B25" s="152" t="s">
        <v>456</v>
      </c>
      <c r="C25" s="10"/>
      <c r="D25" s="152" t="s">
        <v>462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opLeftCell="F1" workbookViewId="0">
      <selection activeCell="K20" sqref="K20"/>
    </sheetView>
  </sheetViews>
  <sheetFormatPr defaultColWidth="8.7109375" defaultRowHeight="15" x14ac:dyDescent="0.25"/>
  <cols>
    <col min="2" max="2" width="27.7109375" customWidth="1"/>
    <col min="3" max="3" width="22.140625" customWidth="1"/>
    <col min="4" max="4" width="13.28515625" customWidth="1"/>
    <col min="5" max="5" width="53.28515625" customWidth="1"/>
    <col min="6" max="6" width="57.7109375" customWidth="1"/>
    <col min="7" max="7" width="31.140625" customWidth="1"/>
    <col min="8" max="8" width="22.28515625" customWidth="1"/>
    <col min="9" max="9" width="13.28515625" customWidth="1"/>
    <col min="10" max="10" width="31.140625" customWidth="1"/>
    <col min="11" max="11" width="31.28515625" customWidth="1"/>
  </cols>
  <sheetData>
    <row r="1" spans="1:12" x14ac:dyDescent="0.25">
      <c r="C1" s="31" t="str">
        <f>HYPERLINK("#Config!$A$1","Config")</f>
        <v>Config</v>
      </c>
      <c r="K1" s="115"/>
    </row>
    <row r="2" spans="1:12" s="45" customFormat="1" ht="12.75" x14ac:dyDescent="0.2">
      <c r="A2" s="228" t="s">
        <v>87</v>
      </c>
      <c r="B2" s="228" t="s">
        <v>370</v>
      </c>
      <c r="C2" s="228" t="s">
        <v>107</v>
      </c>
      <c r="D2" s="229" t="s">
        <v>371</v>
      </c>
      <c r="E2" s="228" t="s">
        <v>372</v>
      </c>
      <c r="F2" s="228" t="s">
        <v>375</v>
      </c>
      <c r="G2" s="230" t="s">
        <v>378</v>
      </c>
      <c r="H2" s="230" t="s">
        <v>379</v>
      </c>
      <c r="I2" s="230" t="s">
        <v>429</v>
      </c>
      <c r="J2" s="230" t="s">
        <v>430</v>
      </c>
      <c r="K2" s="230" t="s">
        <v>431</v>
      </c>
      <c r="L2" s="230" t="s">
        <v>84</v>
      </c>
    </row>
    <row r="3" spans="1:12" s="45" customFormat="1" ht="25.5" x14ac:dyDescent="0.25">
      <c r="A3" s="123" t="s">
        <v>88</v>
      </c>
      <c r="B3" s="123" t="s">
        <v>89</v>
      </c>
      <c r="C3" s="123" t="s">
        <v>98</v>
      </c>
      <c r="D3" s="123" t="s">
        <v>428</v>
      </c>
      <c r="E3" s="123" t="s">
        <v>475</v>
      </c>
      <c r="F3" s="137" t="s">
        <v>474</v>
      </c>
      <c r="G3" s="123" t="s">
        <v>90</v>
      </c>
      <c r="H3" s="123" t="s">
        <v>98</v>
      </c>
      <c r="I3" s="138"/>
      <c r="J3" s="138" t="str">
        <f t="shared" ref="J3:J8" si="0">CONCATENATE("CT0_",B3)</f>
        <v>CT0_IDB_PH1_CIM_CUSTOMER</v>
      </c>
      <c r="K3" s="138" t="str">
        <f t="shared" ref="K3:K8" si="1">CONCATENATE("MJ0_",G3)</f>
        <v>MJ0_IDB_PH1_CIM_INDIVIDUAL</v>
      </c>
      <c r="L3" s="139"/>
    </row>
    <row r="4" spans="1:12" ht="25.5" x14ac:dyDescent="0.25">
      <c r="A4" s="123" t="s">
        <v>88</v>
      </c>
      <c r="B4" s="123" t="s">
        <v>90</v>
      </c>
      <c r="C4" s="123" t="s">
        <v>98</v>
      </c>
      <c r="D4" s="123" t="s">
        <v>478</v>
      </c>
      <c r="E4" s="123" t="s">
        <v>483</v>
      </c>
      <c r="F4" s="137" t="s">
        <v>484</v>
      </c>
      <c r="G4" s="123" t="s">
        <v>89</v>
      </c>
      <c r="H4" s="123" t="s">
        <v>98</v>
      </c>
      <c r="I4" s="138"/>
      <c r="J4" s="138" t="str">
        <f t="shared" si="0"/>
        <v>CT0_IDB_PH1_CIM_INDIVIDUAL</v>
      </c>
      <c r="K4" s="138" t="str">
        <f t="shared" si="1"/>
        <v>MJ0_IDB_PH1_CIM_CUSTOMER</v>
      </c>
      <c r="L4" s="139"/>
    </row>
    <row r="5" spans="1:12" ht="25.5" x14ac:dyDescent="0.25">
      <c r="A5" s="123" t="s">
        <v>88</v>
      </c>
      <c r="B5" s="123" t="s">
        <v>89</v>
      </c>
      <c r="C5" s="123" t="s">
        <v>98</v>
      </c>
      <c r="D5" s="123" t="s">
        <v>479</v>
      </c>
      <c r="E5" s="123" t="s">
        <v>485</v>
      </c>
      <c r="F5" s="137" t="s">
        <v>487</v>
      </c>
      <c r="G5" s="123" t="s">
        <v>436</v>
      </c>
      <c r="H5" s="123" t="s">
        <v>98</v>
      </c>
      <c r="I5" s="138"/>
      <c r="J5" s="138" t="str">
        <f t="shared" si="0"/>
        <v>CT0_IDB_PH1_CIM_CUSTOMER</v>
      </c>
      <c r="K5" s="138" t="str">
        <f t="shared" si="1"/>
        <v>MJ0_IDB_PH1_CIM_CONTACT_MED</v>
      </c>
      <c r="L5" s="139"/>
    </row>
    <row r="6" spans="1:12" ht="25.5" x14ac:dyDescent="0.25">
      <c r="A6" s="123" t="s">
        <v>88</v>
      </c>
      <c r="B6" s="123" t="s">
        <v>436</v>
      </c>
      <c r="C6" s="123" t="s">
        <v>98</v>
      </c>
      <c r="D6" s="123" t="s">
        <v>480</v>
      </c>
      <c r="E6" s="123" t="s">
        <v>486</v>
      </c>
      <c r="F6" s="137" t="s">
        <v>488</v>
      </c>
      <c r="G6" s="123" t="s">
        <v>89</v>
      </c>
      <c r="H6" s="123" t="s">
        <v>98</v>
      </c>
      <c r="I6" s="138"/>
      <c r="J6" s="138" t="str">
        <f t="shared" si="0"/>
        <v>CT0_IDB_PH1_CIM_CONTACT_MED</v>
      </c>
      <c r="K6" s="138" t="str">
        <f t="shared" si="1"/>
        <v>MJ0_IDB_PH1_CIM_CUSTOMER</v>
      </c>
      <c r="L6" s="139"/>
    </row>
    <row r="7" spans="1:12" ht="25.5" x14ac:dyDescent="0.25">
      <c r="A7" s="123" t="s">
        <v>88</v>
      </c>
      <c r="B7" s="123" t="s">
        <v>424</v>
      </c>
      <c r="C7" s="123" t="s">
        <v>289</v>
      </c>
      <c r="D7" s="123" t="s">
        <v>481</v>
      </c>
      <c r="E7" s="123" t="s">
        <v>489</v>
      </c>
      <c r="F7" s="137" t="s">
        <v>491</v>
      </c>
      <c r="G7" s="123" t="s">
        <v>368</v>
      </c>
      <c r="H7" s="123" t="s">
        <v>289</v>
      </c>
      <c r="I7" s="138"/>
      <c r="J7" s="138" t="str">
        <f t="shared" si="0"/>
        <v>CT0_IDB_PH1_CIM_INDIV_NAME</v>
      </c>
      <c r="K7" s="138" t="str">
        <f t="shared" si="1"/>
        <v>MJ0_IDB_PH1_CIM_INDIV_IDENT</v>
      </c>
      <c r="L7" s="139"/>
    </row>
    <row r="8" spans="1:12" ht="25.5" x14ac:dyDescent="0.25">
      <c r="A8" s="123" t="s">
        <v>88</v>
      </c>
      <c r="B8" s="123" t="s">
        <v>368</v>
      </c>
      <c r="C8" s="123" t="s">
        <v>289</v>
      </c>
      <c r="D8" s="123" t="s">
        <v>482</v>
      </c>
      <c r="E8" s="123" t="s">
        <v>490</v>
      </c>
      <c r="F8" s="137" t="s">
        <v>492</v>
      </c>
      <c r="G8" s="123" t="s">
        <v>424</v>
      </c>
      <c r="H8" s="123" t="s">
        <v>289</v>
      </c>
      <c r="I8" s="138"/>
      <c r="J8" s="138" t="str">
        <f t="shared" si="0"/>
        <v>CT0_IDB_PH1_CIM_INDIV_IDENT</v>
      </c>
      <c r="K8" s="138" t="str">
        <f t="shared" si="1"/>
        <v>MJ0_IDB_PH1_CIM_INDIV_NAME</v>
      </c>
      <c r="L8" s="139"/>
    </row>
  </sheetData>
  <autoFilter ref="A2:L3"/>
  <conditionalFormatting sqref="D3:D8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D1" sqref="D1"/>
    </sheetView>
  </sheetViews>
  <sheetFormatPr defaultColWidth="8.7109375" defaultRowHeight="15" x14ac:dyDescent="0.25"/>
  <cols>
    <col min="1" max="1" width="33.28515625" customWidth="1"/>
    <col min="2" max="2" width="84.42578125" customWidth="1"/>
    <col min="3" max="3" width="15.42578125" customWidth="1"/>
    <col min="4" max="4" width="35.42578125" customWidth="1"/>
    <col min="5" max="5" width="8.85546875" customWidth="1"/>
    <col min="6" max="6" width="15.7109375" customWidth="1"/>
  </cols>
  <sheetData>
    <row r="1" spans="1:7" x14ac:dyDescent="0.25">
      <c r="A1" s="225" t="s">
        <v>92</v>
      </c>
      <c r="B1" s="40" t="s">
        <v>89</v>
      </c>
      <c r="D1" s="41" t="str">
        <f>HYPERLINK("#IDB_Level1!$A$1","Returnt to Index")</f>
        <v>Returnt to Index</v>
      </c>
      <c r="E1" s="41"/>
    </row>
    <row r="2" spans="1:7" ht="14.65" customHeight="1" x14ac:dyDescent="0.25">
      <c r="A2" s="225" t="s">
        <v>93</v>
      </c>
      <c r="B2" s="40" t="s">
        <v>88</v>
      </c>
      <c r="D2" s="42" t="s">
        <v>94</v>
      </c>
      <c r="E2" s="208"/>
    </row>
    <row r="3" spans="1:7" x14ac:dyDescent="0.25">
      <c r="A3" s="225" t="s">
        <v>95</v>
      </c>
      <c r="B3" s="33"/>
    </row>
    <row r="4" spans="1:7" x14ac:dyDescent="0.25">
      <c r="A4" s="225" t="s">
        <v>96</v>
      </c>
      <c r="B4" s="40" t="s">
        <v>88</v>
      </c>
    </row>
    <row r="5" spans="1:7" x14ac:dyDescent="0.25">
      <c r="A5" s="225" t="s">
        <v>97</v>
      </c>
      <c r="B5" s="40" t="s">
        <v>98</v>
      </c>
    </row>
    <row r="6" spans="1:7" x14ac:dyDescent="0.25">
      <c r="A6" s="225" t="s">
        <v>99</v>
      </c>
      <c r="B6" s="40" t="s">
        <v>98</v>
      </c>
    </row>
    <row r="7" spans="1:7" x14ac:dyDescent="0.25">
      <c r="A7" s="225" t="s">
        <v>100</v>
      </c>
      <c r="B7" s="104" t="s">
        <v>85</v>
      </c>
    </row>
    <row r="8" spans="1:7" ht="28.9" customHeight="1" x14ac:dyDescent="0.25">
      <c r="A8" s="225" t="s">
        <v>101</v>
      </c>
      <c r="B8" s="103" t="s">
        <v>251</v>
      </c>
    </row>
    <row r="9" spans="1:7" ht="14.65" customHeight="1" x14ac:dyDescent="0.25">
      <c r="A9" s="39" t="s">
        <v>77</v>
      </c>
      <c r="B9" s="81" t="s">
        <v>266</v>
      </c>
    </row>
    <row r="10" spans="1:7" ht="14.65" customHeight="1" x14ac:dyDescent="0.25">
      <c r="A10" s="225" t="s">
        <v>103</v>
      </c>
      <c r="B10" s="81" t="s">
        <v>423</v>
      </c>
    </row>
    <row r="11" spans="1:7" x14ac:dyDescent="0.25">
      <c r="A11" s="225" t="s">
        <v>102</v>
      </c>
      <c r="B11" s="33" t="s">
        <v>553</v>
      </c>
    </row>
    <row r="12" spans="1:7" x14ac:dyDescent="0.25">
      <c r="A12" s="225" t="s">
        <v>366</v>
      </c>
      <c r="B12" s="33" t="s">
        <v>367</v>
      </c>
    </row>
    <row r="13" spans="1:7" x14ac:dyDescent="0.25">
      <c r="A13" s="225" t="s">
        <v>655</v>
      </c>
      <c r="B13" s="33" t="s">
        <v>656</v>
      </c>
    </row>
    <row r="15" spans="1:7" x14ac:dyDescent="0.25">
      <c r="A15" s="232" t="s">
        <v>107</v>
      </c>
      <c r="B15" s="49" t="s">
        <v>108</v>
      </c>
      <c r="C15" s="232" t="s">
        <v>109</v>
      </c>
      <c r="D15" s="232" t="s">
        <v>110</v>
      </c>
      <c r="E15" s="49" t="s">
        <v>658</v>
      </c>
      <c r="F15" s="232" t="s">
        <v>34</v>
      </c>
      <c r="G15" s="232" t="s">
        <v>84</v>
      </c>
    </row>
    <row r="16" spans="1:7" x14ac:dyDescent="0.25">
      <c r="A16" s="34" t="s">
        <v>98</v>
      </c>
      <c r="B16" s="34" t="s">
        <v>111</v>
      </c>
      <c r="C16" s="34" t="s">
        <v>178</v>
      </c>
      <c r="D16" s="55" t="s">
        <v>252</v>
      </c>
      <c r="E16" s="55"/>
      <c r="F16" s="34"/>
      <c r="G16" s="10"/>
    </row>
    <row r="17" spans="1:7" x14ac:dyDescent="0.25">
      <c r="A17" s="34" t="s">
        <v>113</v>
      </c>
      <c r="B17" s="34" t="s">
        <v>114</v>
      </c>
      <c r="C17" s="34" t="s">
        <v>112</v>
      </c>
      <c r="D17" s="55" t="s">
        <v>253</v>
      </c>
      <c r="E17" s="55"/>
      <c r="F17" s="34"/>
      <c r="G17" s="10"/>
    </row>
    <row r="18" spans="1:7" ht="58.9" customHeight="1" x14ac:dyDescent="0.25">
      <c r="A18" s="34" t="s">
        <v>115</v>
      </c>
      <c r="B18" s="34" t="s">
        <v>392</v>
      </c>
      <c r="C18" s="34" t="s">
        <v>112</v>
      </c>
      <c r="D18" s="77" t="s">
        <v>393</v>
      </c>
      <c r="E18" s="77"/>
      <c r="F18" s="34" t="s">
        <v>116</v>
      </c>
      <c r="G18" s="10"/>
    </row>
    <row r="19" spans="1:7" ht="14.65" customHeight="1" x14ac:dyDescent="0.25">
      <c r="A19" s="34" t="s">
        <v>117</v>
      </c>
      <c r="B19" s="34" t="s">
        <v>118</v>
      </c>
      <c r="C19" s="34" t="s">
        <v>178</v>
      </c>
      <c r="D19" s="57" t="s">
        <v>252</v>
      </c>
      <c r="E19" s="57"/>
      <c r="F19" s="34"/>
      <c r="G19" s="10"/>
    </row>
    <row r="20" spans="1:7" ht="25.5" x14ac:dyDescent="0.25">
      <c r="A20" s="34" t="s">
        <v>119</v>
      </c>
      <c r="B20" s="34" t="s">
        <v>120</v>
      </c>
      <c r="C20" s="34" t="s">
        <v>112</v>
      </c>
      <c r="D20" s="50" t="s">
        <v>189</v>
      </c>
      <c r="E20" s="50"/>
      <c r="F20" s="50" t="s">
        <v>121</v>
      </c>
      <c r="G20" s="10"/>
    </row>
    <row r="21" spans="1:7" ht="57.75" customHeight="1" x14ac:dyDescent="0.25">
      <c r="A21" s="34" t="s">
        <v>122</v>
      </c>
      <c r="B21" s="34" t="s">
        <v>123</v>
      </c>
      <c r="C21" s="34" t="s">
        <v>112</v>
      </c>
      <c r="D21" s="56" t="s">
        <v>477</v>
      </c>
      <c r="E21" s="56"/>
      <c r="F21" s="52" t="s">
        <v>124</v>
      </c>
      <c r="G21" s="10"/>
    </row>
    <row r="22" spans="1:7" ht="14.65" customHeight="1" x14ac:dyDescent="0.25">
      <c r="A22" s="34" t="s">
        <v>125</v>
      </c>
      <c r="B22" s="34" t="s">
        <v>126</v>
      </c>
      <c r="C22" s="34" t="s">
        <v>112</v>
      </c>
      <c r="D22" s="51" t="s">
        <v>127</v>
      </c>
      <c r="E22" s="51"/>
      <c r="F22" s="53"/>
      <c r="G22" s="10"/>
    </row>
    <row r="23" spans="1:7" ht="14.65" customHeight="1" x14ac:dyDescent="0.25">
      <c r="A23" s="34" t="s">
        <v>128</v>
      </c>
      <c r="B23" s="34" t="s">
        <v>129</v>
      </c>
      <c r="C23" s="34" t="s">
        <v>112</v>
      </c>
      <c r="D23" s="55" t="s">
        <v>252</v>
      </c>
      <c r="E23" s="57"/>
      <c r="F23" s="34"/>
      <c r="G23" s="10"/>
    </row>
    <row r="24" spans="1:7" ht="14.65" customHeight="1" x14ac:dyDescent="0.25">
      <c r="A24" s="34" t="s">
        <v>130</v>
      </c>
      <c r="B24" s="34" t="s">
        <v>131</v>
      </c>
      <c r="C24" s="34" t="s">
        <v>132</v>
      </c>
      <c r="D24" s="54" t="s">
        <v>134</v>
      </c>
      <c r="E24" s="54"/>
      <c r="F24" s="34"/>
      <c r="G24" s="10"/>
    </row>
    <row r="25" spans="1:7" ht="14.65" customHeight="1" x14ac:dyDescent="0.25">
      <c r="A25" s="34" t="s">
        <v>133</v>
      </c>
      <c r="B25" s="34" t="s">
        <v>369</v>
      </c>
      <c r="C25" s="34" t="s">
        <v>132</v>
      </c>
      <c r="D25" s="54" t="s">
        <v>134</v>
      </c>
      <c r="E25" s="54"/>
      <c r="F25" s="34"/>
      <c r="G25" s="10"/>
    </row>
    <row r="26" spans="1:7" ht="14.65" customHeight="1" x14ac:dyDescent="0.25">
      <c r="A26" s="34" t="s">
        <v>135</v>
      </c>
      <c r="B26" s="14" t="s">
        <v>136</v>
      </c>
      <c r="C26" s="34" t="s">
        <v>112</v>
      </c>
      <c r="D26" s="54" t="s">
        <v>137</v>
      </c>
      <c r="E26" s="54"/>
      <c r="F26" s="55"/>
      <c r="G26" s="10" t="s">
        <v>260</v>
      </c>
    </row>
    <row r="27" spans="1:7" x14ac:dyDescent="0.25">
      <c r="A27" s="34" t="s">
        <v>138</v>
      </c>
      <c r="B27" s="34" t="s">
        <v>139</v>
      </c>
      <c r="C27" s="34" t="s">
        <v>112</v>
      </c>
      <c r="D27" s="209" t="s">
        <v>255</v>
      </c>
      <c r="E27" s="78"/>
      <c r="F27" s="34"/>
      <c r="G27" s="10" t="s">
        <v>260</v>
      </c>
    </row>
    <row r="28" spans="1:7" x14ac:dyDescent="0.25">
      <c r="A28" s="34" t="s">
        <v>140</v>
      </c>
      <c r="B28" s="14" t="s">
        <v>141</v>
      </c>
      <c r="C28" s="34" t="s">
        <v>132</v>
      </c>
      <c r="D28" s="54" t="s">
        <v>134</v>
      </c>
      <c r="E28" s="54"/>
      <c r="F28" s="55"/>
      <c r="G28" s="10" t="s">
        <v>260</v>
      </c>
    </row>
    <row r="29" spans="1:7" ht="14.65" customHeight="1" x14ac:dyDescent="0.25">
      <c r="A29" s="34" t="s">
        <v>142</v>
      </c>
      <c r="B29" s="14" t="s">
        <v>143</v>
      </c>
      <c r="C29" s="34" t="s">
        <v>112</v>
      </c>
      <c r="D29" s="54" t="s">
        <v>144</v>
      </c>
      <c r="E29" s="54"/>
      <c r="F29" s="55"/>
      <c r="G29" s="10" t="s">
        <v>260</v>
      </c>
    </row>
    <row r="30" spans="1:7" ht="14.65" customHeight="1" x14ac:dyDescent="0.25">
      <c r="A30" s="34" t="s">
        <v>145</v>
      </c>
      <c r="B30" s="14" t="s">
        <v>146</v>
      </c>
      <c r="C30" s="34" t="s">
        <v>112</v>
      </c>
      <c r="D30" s="55" t="s">
        <v>252</v>
      </c>
      <c r="E30" s="57"/>
      <c r="F30" s="55"/>
      <c r="G30" s="10" t="s">
        <v>260</v>
      </c>
    </row>
    <row r="31" spans="1:7" ht="57.75" customHeight="1" x14ac:dyDescent="0.25">
      <c r="A31" s="34" t="s">
        <v>147</v>
      </c>
      <c r="B31" s="34" t="s">
        <v>148</v>
      </c>
      <c r="C31" s="34" t="s">
        <v>112</v>
      </c>
      <c r="D31" s="77" t="s">
        <v>254</v>
      </c>
      <c r="E31" s="77"/>
      <c r="F31" s="53" t="s">
        <v>116</v>
      </c>
      <c r="G31" s="10" t="s">
        <v>260</v>
      </c>
    </row>
    <row r="32" spans="1:7" ht="25.5" x14ac:dyDescent="0.25">
      <c r="A32" s="34" t="s">
        <v>149</v>
      </c>
      <c r="B32" s="34" t="s">
        <v>150</v>
      </c>
      <c r="C32" s="34" t="s">
        <v>112</v>
      </c>
      <c r="D32" s="53" t="s">
        <v>127</v>
      </c>
      <c r="E32" s="53"/>
      <c r="F32" s="53"/>
      <c r="G32" s="10" t="s">
        <v>260</v>
      </c>
    </row>
    <row r="33" spans="1:7" ht="14.65" customHeight="1" x14ac:dyDescent="0.25">
      <c r="A33" s="34" t="s">
        <v>151</v>
      </c>
      <c r="B33" s="34" t="s">
        <v>152</v>
      </c>
      <c r="C33" s="34" t="s">
        <v>256</v>
      </c>
      <c r="D33" s="209" t="s">
        <v>255</v>
      </c>
      <c r="E33" s="78"/>
      <c r="F33" s="53"/>
      <c r="G33" s="10" t="s">
        <v>260</v>
      </c>
    </row>
    <row r="34" spans="1:7" ht="25.5" x14ac:dyDescent="0.25">
      <c r="A34" s="34" t="s">
        <v>153</v>
      </c>
      <c r="B34" s="34" t="s">
        <v>154</v>
      </c>
      <c r="C34" s="34" t="s">
        <v>112</v>
      </c>
      <c r="D34" s="56" t="s">
        <v>155</v>
      </c>
      <c r="E34" s="56"/>
      <c r="F34" s="53"/>
      <c r="G34" s="10" t="s">
        <v>260</v>
      </c>
    </row>
    <row r="35" spans="1:7" x14ac:dyDescent="0.25">
      <c r="A35" s="101" t="s">
        <v>156</v>
      </c>
      <c r="B35" s="34" t="s">
        <v>157</v>
      </c>
      <c r="C35" s="34" t="s">
        <v>112</v>
      </c>
      <c r="D35" s="79" t="s">
        <v>127</v>
      </c>
      <c r="E35" s="79"/>
      <c r="F35" s="10"/>
      <c r="G35" s="10" t="s">
        <v>260</v>
      </c>
    </row>
    <row r="36" spans="1:7" ht="14.65" customHeight="1" x14ac:dyDescent="0.25">
      <c r="A36" s="101" t="s">
        <v>158</v>
      </c>
      <c r="B36" s="34" t="s">
        <v>159</v>
      </c>
      <c r="C36" s="34" t="s">
        <v>112</v>
      </c>
      <c r="D36" s="79" t="s">
        <v>127</v>
      </c>
      <c r="E36" s="79"/>
      <c r="F36" s="10"/>
      <c r="G36" s="10" t="s">
        <v>260</v>
      </c>
    </row>
    <row r="37" spans="1:7" ht="14.65" customHeight="1" x14ac:dyDescent="0.25">
      <c r="A37" s="101" t="s">
        <v>160</v>
      </c>
      <c r="B37" s="34" t="s">
        <v>161</v>
      </c>
      <c r="C37" s="34" t="s">
        <v>112</v>
      </c>
      <c r="D37" s="79" t="s">
        <v>127</v>
      </c>
      <c r="E37" s="79"/>
      <c r="F37" s="10"/>
      <c r="G37" s="10" t="s">
        <v>260</v>
      </c>
    </row>
    <row r="38" spans="1:7" x14ac:dyDescent="0.25">
      <c r="A38" s="100" t="s">
        <v>162</v>
      </c>
      <c r="B38" s="34" t="s">
        <v>163</v>
      </c>
      <c r="C38" s="34" t="s">
        <v>112</v>
      </c>
      <c r="D38" s="79" t="s">
        <v>127</v>
      </c>
      <c r="E38" s="79"/>
      <c r="F38" s="10"/>
      <c r="G38" s="10"/>
    </row>
    <row r="39" spans="1:7" ht="14.65" customHeight="1" x14ac:dyDescent="0.25">
      <c r="A39" s="102" t="s">
        <v>164</v>
      </c>
      <c r="B39" s="34" t="s">
        <v>165</v>
      </c>
      <c r="C39" s="34" t="s">
        <v>166</v>
      </c>
      <c r="D39" s="79" t="s">
        <v>257</v>
      </c>
      <c r="E39" s="79"/>
      <c r="F39" s="10"/>
      <c r="G39" s="10" t="s">
        <v>260</v>
      </c>
    </row>
    <row r="40" spans="1:7" ht="28.9" customHeight="1" x14ac:dyDescent="0.25">
      <c r="A40" s="102" t="s">
        <v>167</v>
      </c>
      <c r="B40" s="34" t="s">
        <v>168</v>
      </c>
      <c r="C40" s="34" t="s">
        <v>112</v>
      </c>
      <c r="D40" s="55" t="s">
        <v>252</v>
      </c>
      <c r="E40" s="57"/>
      <c r="F40" s="10"/>
      <c r="G40" s="10" t="s">
        <v>260</v>
      </c>
    </row>
    <row r="41" spans="1:7" ht="30" x14ac:dyDescent="0.25">
      <c r="A41" s="102" t="s">
        <v>169</v>
      </c>
      <c r="B41" s="34" t="s">
        <v>170</v>
      </c>
      <c r="C41" s="34" t="s">
        <v>171</v>
      </c>
      <c r="D41" s="56" t="s">
        <v>258</v>
      </c>
      <c r="E41" s="56"/>
      <c r="F41" s="10"/>
      <c r="G41" s="10" t="s">
        <v>260</v>
      </c>
    </row>
    <row r="42" spans="1:7" ht="14.65" customHeight="1" x14ac:dyDescent="0.25">
      <c r="A42" s="102" t="s">
        <v>172</v>
      </c>
      <c r="B42" s="34" t="s">
        <v>173</v>
      </c>
      <c r="C42" s="34" t="s">
        <v>174</v>
      </c>
      <c r="D42" s="56" t="s">
        <v>259</v>
      </c>
      <c r="E42" s="56"/>
      <c r="F42" s="10"/>
      <c r="G42" s="10" t="s">
        <v>260</v>
      </c>
    </row>
    <row r="43" spans="1:7" ht="14.65" customHeight="1" x14ac:dyDescent="0.25">
      <c r="A43" s="102" t="s">
        <v>175</v>
      </c>
      <c r="B43" s="34" t="s">
        <v>176</v>
      </c>
      <c r="C43" s="34" t="s">
        <v>112</v>
      </c>
      <c r="D43" s="79" t="s">
        <v>127</v>
      </c>
      <c r="E43" s="79"/>
      <c r="F43" s="10"/>
      <c r="G43" s="10" t="s">
        <v>260</v>
      </c>
    </row>
    <row r="44" spans="1:7" x14ac:dyDescent="0.25">
      <c r="A44" s="102" t="s">
        <v>246</v>
      </c>
      <c r="B44" s="34" t="s">
        <v>352</v>
      </c>
      <c r="C44" s="34" t="s">
        <v>132</v>
      </c>
      <c r="D44" s="79" t="s">
        <v>127</v>
      </c>
      <c r="E44" s="79"/>
      <c r="F44" s="10"/>
      <c r="G44" s="10"/>
    </row>
    <row r="45" spans="1:7" x14ac:dyDescent="0.25">
      <c r="A45" s="102" t="s">
        <v>261</v>
      </c>
      <c r="B45" s="10" t="s">
        <v>261</v>
      </c>
      <c r="C45" s="10" t="s">
        <v>347</v>
      </c>
      <c r="D45" s="79" t="s">
        <v>127</v>
      </c>
      <c r="E45" s="79"/>
      <c r="F45" s="10"/>
      <c r="G45" s="10"/>
    </row>
  </sheetData>
  <hyperlinks>
    <hyperlink ref="A3" location="IDB_PH1_CIM_INDIVIDUAL_IDENT!A1" display="IDB_PH1_CIM_INDIVIDUAL_IDENT!A1"/>
    <hyperlink ref="A4" location="IDB_PH1_CIM_LANGUAGE_REF!A1" display="IDB_PH1_CIM_LANGUAGE_REF!A1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zoomScaleNormal="100" workbookViewId="0">
      <selection activeCell="B24" sqref="B24"/>
    </sheetView>
  </sheetViews>
  <sheetFormatPr defaultColWidth="8.7109375" defaultRowHeight="15" x14ac:dyDescent="0.25"/>
  <cols>
    <col min="1" max="1" width="33.28515625" customWidth="1"/>
    <col min="2" max="2" width="105.42578125" customWidth="1"/>
    <col min="3" max="3" width="15.42578125" customWidth="1"/>
    <col min="4" max="4" width="24.42578125" customWidth="1"/>
    <col min="5" max="5" width="13.28515625" customWidth="1"/>
  </cols>
  <sheetData>
    <row r="1" spans="1:6" x14ac:dyDescent="0.25">
      <c r="A1" s="225" t="s">
        <v>92</v>
      </c>
      <c r="B1" s="40" t="s">
        <v>90</v>
      </c>
      <c r="D1" s="41" t="str">
        <f>HYPERLINK("#IDB_Level1!$A$1","Returnt to Index")</f>
        <v>Returnt to Index</v>
      </c>
    </row>
    <row r="2" spans="1:6" ht="14.65" customHeight="1" x14ac:dyDescent="0.25">
      <c r="A2" s="225" t="s">
        <v>93</v>
      </c>
      <c r="B2" s="40" t="s">
        <v>88</v>
      </c>
      <c r="D2" s="42" t="s">
        <v>94</v>
      </c>
    </row>
    <row r="3" spans="1:6" x14ac:dyDescent="0.25">
      <c r="A3" s="225" t="s">
        <v>95</v>
      </c>
      <c r="B3" s="33"/>
    </row>
    <row r="4" spans="1:6" x14ac:dyDescent="0.25">
      <c r="A4" s="225" t="s">
        <v>97</v>
      </c>
      <c r="B4" s="40" t="s">
        <v>98</v>
      </c>
    </row>
    <row r="5" spans="1:6" x14ac:dyDescent="0.25">
      <c r="A5" s="225" t="s">
        <v>99</v>
      </c>
      <c r="B5" s="33" t="s">
        <v>98</v>
      </c>
    </row>
    <row r="6" spans="1:6" ht="14.65" customHeight="1" x14ac:dyDescent="0.25">
      <c r="A6" s="225" t="s">
        <v>100</v>
      </c>
      <c r="B6" s="33"/>
    </row>
    <row r="7" spans="1:6" ht="28.9" customHeight="1" x14ac:dyDescent="0.25">
      <c r="A7" s="225" t="s">
        <v>101</v>
      </c>
      <c r="B7" s="105" t="s">
        <v>389</v>
      </c>
    </row>
    <row r="8" spans="1:6" ht="14.65" customHeight="1" x14ac:dyDescent="0.25">
      <c r="A8" s="39" t="s">
        <v>77</v>
      </c>
      <c r="B8" s="43"/>
    </row>
    <row r="9" spans="1:6" x14ac:dyDescent="0.25">
      <c r="A9" s="225" t="s">
        <v>103</v>
      </c>
      <c r="B9" s="33" t="s">
        <v>663</v>
      </c>
    </row>
    <row r="10" spans="1:6" x14ac:dyDescent="0.25">
      <c r="A10" s="225" t="s">
        <v>103</v>
      </c>
      <c r="B10" s="33" t="s">
        <v>104</v>
      </c>
    </row>
    <row r="11" spans="1:6" x14ac:dyDescent="0.25">
      <c r="A11" s="233" t="s">
        <v>102</v>
      </c>
      <c r="B11" s="40" t="s">
        <v>554</v>
      </c>
    </row>
    <row r="12" spans="1:6" x14ac:dyDescent="0.25">
      <c r="A12" s="225" t="s">
        <v>366</v>
      </c>
      <c r="B12" s="33" t="s">
        <v>367</v>
      </c>
    </row>
    <row r="14" spans="1:6" x14ac:dyDescent="0.25">
      <c r="A14" s="232" t="s">
        <v>107</v>
      </c>
      <c r="B14" s="49" t="s">
        <v>108</v>
      </c>
      <c r="C14" s="232" t="s">
        <v>109</v>
      </c>
      <c r="D14" s="232" t="s">
        <v>110</v>
      </c>
      <c r="E14" s="232" t="s">
        <v>34</v>
      </c>
      <c r="F14" s="232" t="s">
        <v>84</v>
      </c>
    </row>
    <row r="15" spans="1:6" x14ac:dyDescent="0.25">
      <c r="A15" s="34" t="s">
        <v>98</v>
      </c>
      <c r="B15" s="34" t="s">
        <v>177</v>
      </c>
      <c r="C15" s="34" t="s">
        <v>178</v>
      </c>
      <c r="D15" s="57" t="s">
        <v>252</v>
      </c>
      <c r="E15" s="34"/>
      <c r="F15" s="10"/>
    </row>
    <row r="16" spans="1:6" x14ac:dyDescent="0.25">
      <c r="A16" s="34" t="s">
        <v>122</v>
      </c>
      <c r="B16" s="34" t="s">
        <v>179</v>
      </c>
      <c r="C16" s="34" t="s">
        <v>112</v>
      </c>
      <c r="D16" s="58" t="s">
        <v>264</v>
      </c>
      <c r="E16" s="59"/>
      <c r="F16" s="10"/>
    </row>
    <row r="17" spans="1:6" x14ac:dyDescent="0.25">
      <c r="A17" s="34" t="s">
        <v>180</v>
      </c>
      <c r="B17" s="34" t="s">
        <v>181</v>
      </c>
      <c r="C17" s="34" t="s">
        <v>132</v>
      </c>
      <c r="D17" s="61" t="s">
        <v>263</v>
      </c>
      <c r="E17" s="34"/>
      <c r="F17" s="10"/>
    </row>
    <row r="18" spans="1:6" ht="57.75" customHeight="1" x14ac:dyDescent="0.25">
      <c r="A18" s="34" t="s">
        <v>182</v>
      </c>
      <c r="B18" s="34" t="s">
        <v>183</v>
      </c>
      <c r="C18" s="34" t="s">
        <v>112</v>
      </c>
      <c r="D18" s="34" t="s">
        <v>587</v>
      </c>
      <c r="E18" s="34" t="s">
        <v>184</v>
      </c>
      <c r="F18" s="10"/>
    </row>
    <row r="19" spans="1:6" x14ac:dyDescent="0.25">
      <c r="A19" s="53" t="s">
        <v>185</v>
      </c>
      <c r="B19" s="60" t="s">
        <v>186</v>
      </c>
      <c r="C19" s="53" t="s">
        <v>112</v>
      </c>
      <c r="D19" s="58" t="s">
        <v>265</v>
      </c>
      <c r="E19" s="61"/>
      <c r="F19" s="10"/>
    </row>
    <row r="20" spans="1:6" x14ac:dyDescent="0.25">
      <c r="A20" s="34" t="s">
        <v>133</v>
      </c>
      <c r="B20" s="60" t="s">
        <v>187</v>
      </c>
      <c r="C20" s="34" t="s">
        <v>132</v>
      </c>
      <c r="D20" s="61" t="s">
        <v>134</v>
      </c>
      <c r="E20" s="38"/>
      <c r="F20" s="10"/>
    </row>
    <row r="21" spans="1:6" x14ac:dyDescent="0.25">
      <c r="A21" s="34" t="s">
        <v>142</v>
      </c>
      <c r="B21" s="38" t="s">
        <v>188</v>
      </c>
      <c r="C21" s="34" t="s">
        <v>112</v>
      </c>
      <c r="D21" s="62" t="s">
        <v>189</v>
      </c>
      <c r="E21" s="38"/>
      <c r="F21" s="10" t="s">
        <v>260</v>
      </c>
    </row>
    <row r="22" spans="1:6" x14ac:dyDescent="0.25">
      <c r="A22" s="34" t="s">
        <v>190</v>
      </c>
      <c r="B22" s="34" t="s">
        <v>191</v>
      </c>
      <c r="C22" s="34" t="s">
        <v>132</v>
      </c>
      <c r="D22" s="61" t="s">
        <v>134</v>
      </c>
      <c r="E22" s="38"/>
      <c r="F22" s="10" t="s">
        <v>260</v>
      </c>
    </row>
    <row r="23" spans="1:6" ht="25.5" x14ac:dyDescent="0.25">
      <c r="A23" s="106" t="s">
        <v>192</v>
      </c>
      <c r="B23" s="63" t="s">
        <v>193</v>
      </c>
      <c r="C23" s="34" t="s">
        <v>194</v>
      </c>
      <c r="D23" s="64" t="s">
        <v>195</v>
      </c>
      <c r="E23" s="38"/>
      <c r="F23" s="10" t="s">
        <v>260</v>
      </c>
    </row>
    <row r="24" spans="1:6" ht="25.5" x14ac:dyDescent="0.25">
      <c r="A24" s="38" t="s">
        <v>196</v>
      </c>
      <c r="B24" s="63" t="s">
        <v>197</v>
      </c>
      <c r="C24" s="34" t="s">
        <v>194</v>
      </c>
      <c r="D24" s="64" t="s">
        <v>198</v>
      </c>
      <c r="E24" s="38"/>
      <c r="F24" s="10" t="s">
        <v>260</v>
      </c>
    </row>
    <row r="25" spans="1:6" ht="25.5" x14ac:dyDescent="0.25">
      <c r="A25" s="38" t="s">
        <v>199</v>
      </c>
      <c r="B25" s="63" t="s">
        <v>200</v>
      </c>
      <c r="C25" s="34" t="s">
        <v>194</v>
      </c>
      <c r="D25" s="64" t="s">
        <v>201</v>
      </c>
      <c r="E25" s="38"/>
      <c r="F25" s="10" t="s">
        <v>260</v>
      </c>
    </row>
    <row r="26" spans="1:6" x14ac:dyDescent="0.25">
      <c r="A26" s="34" t="s">
        <v>202</v>
      </c>
      <c r="B26" s="34" t="s">
        <v>203</v>
      </c>
      <c r="C26" s="34" t="s">
        <v>112</v>
      </c>
      <c r="D26" s="57" t="s">
        <v>252</v>
      </c>
      <c r="E26" s="65"/>
      <c r="F26" s="10"/>
    </row>
    <row r="27" spans="1:6" ht="14.65" customHeight="1" x14ac:dyDescent="0.25">
      <c r="A27" s="100" t="s">
        <v>162</v>
      </c>
      <c r="B27" s="34" t="s">
        <v>163</v>
      </c>
      <c r="C27" s="34" t="s">
        <v>112</v>
      </c>
      <c r="D27" s="77" t="s">
        <v>127</v>
      </c>
      <c r="E27" s="10"/>
      <c r="F27" s="10"/>
    </row>
    <row r="28" spans="1:6" x14ac:dyDescent="0.25">
      <c r="A28" s="102" t="s">
        <v>164</v>
      </c>
      <c r="B28" s="34" t="s">
        <v>165</v>
      </c>
      <c r="C28" s="34" t="s">
        <v>166</v>
      </c>
      <c r="D28" s="64" t="s">
        <v>257</v>
      </c>
      <c r="E28" s="10"/>
      <c r="F28" s="10" t="s">
        <v>260</v>
      </c>
    </row>
    <row r="29" spans="1:6" ht="14.65" customHeight="1" x14ac:dyDescent="0.25">
      <c r="A29" s="102" t="s">
        <v>204</v>
      </c>
      <c r="B29" s="34" t="s">
        <v>205</v>
      </c>
      <c r="C29" s="66" t="s">
        <v>112</v>
      </c>
      <c r="D29" s="55" t="s">
        <v>252</v>
      </c>
      <c r="E29" s="10"/>
      <c r="F29" s="10" t="s">
        <v>260</v>
      </c>
    </row>
    <row r="30" spans="1:6" x14ac:dyDescent="0.25">
      <c r="A30" s="102" t="s">
        <v>353</v>
      </c>
      <c r="B30" s="10" t="s">
        <v>357</v>
      </c>
      <c r="C30" s="66" t="s">
        <v>112</v>
      </c>
      <c r="D30" s="10" t="s">
        <v>282</v>
      </c>
      <c r="E30" s="10"/>
      <c r="F30" s="10"/>
    </row>
    <row r="31" spans="1:6" x14ac:dyDescent="0.25">
      <c r="A31" s="102" t="s">
        <v>354</v>
      </c>
      <c r="B31" s="10" t="s">
        <v>358</v>
      </c>
      <c r="C31" s="66" t="s">
        <v>112</v>
      </c>
      <c r="D31" s="10" t="s">
        <v>127</v>
      </c>
      <c r="E31" s="10"/>
      <c r="F31" s="10"/>
    </row>
    <row r="32" spans="1:6" x14ac:dyDescent="0.25">
      <c r="A32" s="102" t="s">
        <v>355</v>
      </c>
      <c r="B32" s="10" t="s">
        <v>359</v>
      </c>
      <c r="C32" s="66" t="s">
        <v>112</v>
      </c>
      <c r="D32" s="10" t="s">
        <v>127</v>
      </c>
      <c r="E32" s="10"/>
      <c r="F32" s="10"/>
    </row>
    <row r="33" spans="1:6" x14ac:dyDescent="0.25">
      <c r="A33" s="102" t="s">
        <v>356</v>
      </c>
      <c r="B33" s="10" t="s">
        <v>360</v>
      </c>
      <c r="C33" s="66" t="s">
        <v>112</v>
      </c>
      <c r="D33" s="10" t="s">
        <v>127</v>
      </c>
      <c r="E33" s="10"/>
      <c r="F33" s="10"/>
    </row>
  </sheetData>
  <hyperlinks>
    <hyperlink ref="A3" location="IDB_PH1_CIM_CONTACT_MEDIUM!A1" display="IDB_PH1_CIM_CONTACT_MEDIUM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C12" sqref="C12:F12"/>
    </sheetView>
  </sheetViews>
  <sheetFormatPr defaultColWidth="8.7109375" defaultRowHeight="15" x14ac:dyDescent="0.25"/>
  <cols>
    <col min="1" max="1" width="35.42578125" customWidth="1"/>
    <col min="2" max="2" width="44.42578125" customWidth="1"/>
    <col min="3" max="3" width="17.7109375" customWidth="1"/>
    <col min="4" max="4" width="26.7109375" customWidth="1"/>
    <col min="5" max="5" width="17.5703125" customWidth="1"/>
  </cols>
  <sheetData>
    <row r="1" spans="1:6" x14ac:dyDescent="0.25">
      <c r="A1" s="225" t="s">
        <v>92</v>
      </c>
      <c r="B1" s="40" t="s">
        <v>91</v>
      </c>
      <c r="D1" s="41" t="str">
        <f>HYPERLINK("#IDB_Level1!$A$1","Returnt to Index")</f>
        <v>Returnt to Index</v>
      </c>
    </row>
    <row r="2" spans="1:6" ht="14.65" customHeight="1" x14ac:dyDescent="0.25">
      <c r="A2" s="225" t="s">
        <v>93</v>
      </c>
      <c r="B2" s="40" t="s">
        <v>88</v>
      </c>
      <c r="D2" s="44" t="s">
        <v>94</v>
      </c>
    </row>
    <row r="3" spans="1:6" x14ac:dyDescent="0.25">
      <c r="A3" s="225" t="s">
        <v>95</v>
      </c>
      <c r="B3" s="33"/>
    </row>
    <row r="4" spans="1:6" x14ac:dyDescent="0.25">
      <c r="A4" s="225" t="s">
        <v>97</v>
      </c>
      <c r="B4" s="40" t="s">
        <v>105</v>
      </c>
    </row>
    <row r="5" spans="1:6" x14ac:dyDescent="0.25">
      <c r="A5" s="225" t="s">
        <v>99</v>
      </c>
      <c r="B5" s="40" t="s">
        <v>71</v>
      </c>
    </row>
    <row r="6" spans="1:6" x14ac:dyDescent="0.25">
      <c r="A6" s="225" t="s">
        <v>100</v>
      </c>
      <c r="B6" s="33"/>
    </row>
    <row r="7" spans="1:6" ht="28.9" customHeight="1" x14ac:dyDescent="0.25">
      <c r="A7" s="225" t="s">
        <v>101</v>
      </c>
      <c r="B7" s="33" t="s">
        <v>390</v>
      </c>
    </row>
    <row r="8" spans="1:6" ht="14.65" customHeight="1" x14ac:dyDescent="0.25">
      <c r="A8" s="39" t="s">
        <v>77</v>
      </c>
      <c r="B8" s="43" t="s">
        <v>106</v>
      </c>
    </row>
    <row r="9" spans="1:6" x14ac:dyDescent="0.25">
      <c r="A9" s="233" t="s">
        <v>102</v>
      </c>
      <c r="B9" s="40" t="s">
        <v>555</v>
      </c>
    </row>
    <row r="10" spans="1:6" x14ac:dyDescent="0.25">
      <c r="A10" s="225" t="s">
        <v>366</v>
      </c>
      <c r="B10" s="33" t="s">
        <v>367</v>
      </c>
    </row>
    <row r="12" spans="1:6" x14ac:dyDescent="0.25">
      <c r="A12" s="220" t="s">
        <v>107</v>
      </c>
      <c r="B12" s="37" t="s">
        <v>108</v>
      </c>
      <c r="C12" s="220" t="s">
        <v>109</v>
      </c>
      <c r="D12" s="220" t="s">
        <v>110</v>
      </c>
      <c r="E12" s="220" t="s">
        <v>34</v>
      </c>
      <c r="F12" s="220" t="s">
        <v>84</v>
      </c>
    </row>
    <row r="13" spans="1:6" x14ac:dyDescent="0.25">
      <c r="A13" s="55" t="s">
        <v>105</v>
      </c>
      <c r="B13" s="55" t="s">
        <v>206</v>
      </c>
      <c r="C13" s="10" t="s">
        <v>178</v>
      </c>
      <c r="D13" s="57" t="s">
        <v>252</v>
      </c>
      <c r="E13" s="10"/>
      <c r="F13" s="10"/>
    </row>
    <row r="14" spans="1:6" x14ac:dyDescent="0.25">
      <c r="A14" s="55" t="s">
        <v>207</v>
      </c>
      <c r="B14" s="55" t="s">
        <v>208</v>
      </c>
      <c r="C14" s="10" t="s">
        <v>112</v>
      </c>
      <c r="D14" s="67" t="s">
        <v>189</v>
      </c>
      <c r="E14" s="10"/>
      <c r="F14" s="10"/>
    </row>
    <row r="15" spans="1:6" x14ac:dyDescent="0.25">
      <c r="A15" s="55" t="s">
        <v>209</v>
      </c>
      <c r="B15" s="55" t="s">
        <v>210</v>
      </c>
      <c r="C15" s="10" t="s">
        <v>112</v>
      </c>
      <c r="D15" s="68" t="s">
        <v>262</v>
      </c>
      <c r="E15" s="10"/>
      <c r="F15" s="10"/>
    </row>
    <row r="16" spans="1:6" x14ac:dyDescent="0.25">
      <c r="A16" s="69" t="s">
        <v>190</v>
      </c>
      <c r="B16" s="69" t="s">
        <v>212</v>
      </c>
      <c r="C16" s="34" t="s">
        <v>132</v>
      </c>
      <c r="D16" s="67" t="s">
        <v>134</v>
      </c>
      <c r="E16" s="70"/>
      <c r="F16" s="10" t="s">
        <v>260</v>
      </c>
    </row>
    <row r="17" spans="1:6" ht="25.5" x14ac:dyDescent="0.25">
      <c r="A17" s="71" t="s">
        <v>164</v>
      </c>
      <c r="B17" s="34" t="s">
        <v>165</v>
      </c>
      <c r="C17" s="34" t="s">
        <v>166</v>
      </c>
      <c r="D17" s="72" t="s">
        <v>213</v>
      </c>
      <c r="E17" s="10"/>
      <c r="F17" s="10" t="s">
        <v>260</v>
      </c>
    </row>
    <row r="18" spans="1:6" x14ac:dyDescent="0.25">
      <c r="A18" s="10" t="s">
        <v>211</v>
      </c>
      <c r="B18" s="10" t="s">
        <v>361</v>
      </c>
      <c r="C18" s="10" t="s">
        <v>112</v>
      </c>
      <c r="D18" s="10" t="s">
        <v>127</v>
      </c>
      <c r="E18" s="10"/>
      <c r="F18" s="10"/>
    </row>
    <row r="19" spans="1:6" x14ac:dyDescent="0.25">
      <c r="A19" s="10" t="s">
        <v>261</v>
      </c>
      <c r="B19" s="10" t="s">
        <v>261</v>
      </c>
      <c r="C19" s="10" t="s">
        <v>347</v>
      </c>
      <c r="D19" s="10" t="s">
        <v>127</v>
      </c>
      <c r="E19" s="10"/>
      <c r="F19" s="10"/>
    </row>
  </sheetData>
  <hyperlinks>
    <hyperlink ref="A3" location="IDB_PH1_NRM_ACCOUNT!A1" display="IDB_PH1_NRM_ACCOUNT"/>
    <hyperlink ref="A4" location="IDB_PH1_NRM_ADDRESS!A1" display="IDB_PH1_NRM_ADDRESS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zoomScaleNormal="100" workbookViewId="0">
      <selection activeCell="D1" sqref="D1"/>
    </sheetView>
  </sheetViews>
  <sheetFormatPr defaultColWidth="8.7109375" defaultRowHeight="15" x14ac:dyDescent="0.25"/>
  <cols>
    <col min="1" max="1" width="35.42578125" customWidth="1"/>
    <col min="2" max="2" width="80" customWidth="1"/>
    <col min="3" max="3" width="17.7109375" customWidth="1"/>
    <col min="4" max="4" width="44.42578125" customWidth="1"/>
    <col min="5" max="5" width="17.7109375" customWidth="1"/>
  </cols>
  <sheetData>
    <row r="1" spans="1:5" x14ac:dyDescent="0.25">
      <c r="A1" s="225" t="s">
        <v>92</v>
      </c>
      <c r="B1" s="40" t="s">
        <v>436</v>
      </c>
      <c r="C1" s="45"/>
      <c r="D1" s="46" t="str">
        <f>HYPERLINK("#IDB_Level1!$A$1","Returnt to Index")</f>
        <v>Returnt to Index</v>
      </c>
    </row>
    <row r="2" spans="1:5" ht="14.65" customHeight="1" x14ac:dyDescent="0.25">
      <c r="A2" s="225" t="s">
        <v>93</v>
      </c>
      <c r="B2" s="40" t="s">
        <v>88</v>
      </c>
      <c r="C2" s="45"/>
      <c r="D2" s="42" t="s">
        <v>94</v>
      </c>
    </row>
    <row r="3" spans="1:5" x14ac:dyDescent="0.25">
      <c r="A3" s="225" t="s">
        <v>95</v>
      </c>
      <c r="B3" s="33"/>
      <c r="C3" s="45"/>
      <c r="D3" s="47"/>
    </row>
    <row r="4" spans="1:5" x14ac:dyDescent="0.25">
      <c r="A4" s="225" t="s">
        <v>96</v>
      </c>
      <c r="B4" s="40" t="s">
        <v>88</v>
      </c>
      <c r="C4" s="45"/>
      <c r="D4" s="47"/>
    </row>
    <row r="5" spans="1:5" x14ac:dyDescent="0.25">
      <c r="A5" s="225" t="s">
        <v>97</v>
      </c>
      <c r="B5" s="40" t="s">
        <v>98</v>
      </c>
      <c r="C5" s="45"/>
      <c r="D5" s="47"/>
    </row>
    <row r="6" spans="1:5" x14ac:dyDescent="0.25">
      <c r="A6" s="225" t="s">
        <v>99</v>
      </c>
      <c r="B6" s="40" t="s">
        <v>98</v>
      </c>
      <c r="C6" s="45"/>
      <c r="D6" s="47"/>
    </row>
    <row r="7" spans="1:5" x14ac:dyDescent="0.25">
      <c r="A7" s="225" t="s">
        <v>100</v>
      </c>
      <c r="B7" s="33"/>
      <c r="C7" s="45"/>
      <c r="D7" s="47"/>
    </row>
    <row r="8" spans="1:5" ht="30" x14ac:dyDescent="0.25">
      <c r="A8" s="225" t="s">
        <v>101</v>
      </c>
      <c r="B8" s="48" t="s">
        <v>389</v>
      </c>
      <c r="C8" s="45"/>
      <c r="D8" s="47"/>
    </row>
    <row r="9" spans="1:5" x14ac:dyDescent="0.25">
      <c r="A9" s="39" t="s">
        <v>77</v>
      </c>
      <c r="B9" s="40"/>
      <c r="C9" s="45"/>
      <c r="D9" s="47"/>
    </row>
    <row r="10" spans="1:5" x14ac:dyDescent="0.25">
      <c r="A10" s="225" t="s">
        <v>103</v>
      </c>
      <c r="B10" s="33" t="s">
        <v>664</v>
      </c>
      <c r="C10" s="45"/>
      <c r="D10" s="47"/>
    </row>
    <row r="11" spans="1:5" x14ac:dyDescent="0.25">
      <c r="A11" s="225" t="s">
        <v>103</v>
      </c>
      <c r="B11" s="33" t="s">
        <v>104</v>
      </c>
      <c r="C11" s="45"/>
      <c r="D11" s="47"/>
    </row>
    <row r="12" spans="1:5" x14ac:dyDescent="0.25">
      <c r="A12" s="233" t="s">
        <v>102</v>
      </c>
      <c r="B12" s="40" t="s">
        <v>556</v>
      </c>
      <c r="C12" s="45"/>
      <c r="D12" s="47"/>
    </row>
    <row r="13" spans="1:5" x14ac:dyDescent="0.25">
      <c r="A13" s="225" t="s">
        <v>366</v>
      </c>
      <c r="B13" s="33" t="s">
        <v>367</v>
      </c>
      <c r="C13" s="45"/>
      <c r="D13" s="47"/>
    </row>
    <row r="15" spans="1:5" x14ac:dyDescent="0.25">
      <c r="A15" s="232" t="s">
        <v>107</v>
      </c>
      <c r="B15" s="49" t="s">
        <v>108</v>
      </c>
      <c r="C15" s="232" t="s">
        <v>109</v>
      </c>
      <c r="D15" s="232" t="s">
        <v>110</v>
      </c>
      <c r="E15" s="232" t="s">
        <v>34</v>
      </c>
    </row>
    <row r="16" spans="1:5" x14ac:dyDescent="0.25">
      <c r="A16" s="34" t="s">
        <v>98</v>
      </c>
      <c r="B16" s="34" t="s">
        <v>177</v>
      </c>
      <c r="C16" s="35" t="s">
        <v>178</v>
      </c>
      <c r="D16" s="57" t="s">
        <v>348</v>
      </c>
      <c r="E16" s="34"/>
    </row>
    <row r="17" spans="1:5" x14ac:dyDescent="0.25">
      <c r="A17" s="34" t="s">
        <v>105</v>
      </c>
      <c r="B17" s="34" t="s">
        <v>206</v>
      </c>
      <c r="C17" s="35" t="s">
        <v>178</v>
      </c>
      <c r="D17" s="57" t="s">
        <v>252</v>
      </c>
      <c r="E17" s="34"/>
    </row>
    <row r="18" spans="1:5" ht="25.5" x14ac:dyDescent="0.25">
      <c r="A18" s="34" t="s">
        <v>207</v>
      </c>
      <c r="B18" s="34" t="s">
        <v>214</v>
      </c>
      <c r="C18" s="35" t="s">
        <v>112</v>
      </c>
      <c r="D18" s="84" t="s">
        <v>189</v>
      </c>
      <c r="E18" s="34"/>
    </row>
    <row r="19" spans="1:5" ht="25.5" x14ac:dyDescent="0.25">
      <c r="A19" s="34" t="s">
        <v>215</v>
      </c>
      <c r="B19" s="34" t="s">
        <v>216</v>
      </c>
      <c r="C19" s="35" t="s">
        <v>362</v>
      </c>
      <c r="D19" s="75">
        <v>1</v>
      </c>
      <c r="E19" s="34"/>
    </row>
    <row r="20" spans="1:5" x14ac:dyDescent="0.25">
      <c r="A20" s="34" t="s">
        <v>217</v>
      </c>
      <c r="B20" s="34" t="s">
        <v>218</v>
      </c>
      <c r="C20" s="35" t="s">
        <v>112</v>
      </c>
      <c r="D20" s="84" t="s">
        <v>280</v>
      </c>
      <c r="E20" s="34"/>
    </row>
    <row r="21" spans="1:5" x14ac:dyDescent="0.25">
      <c r="A21" s="34" t="s">
        <v>219</v>
      </c>
      <c r="B21" s="53" t="s">
        <v>220</v>
      </c>
      <c r="C21" s="74" t="s">
        <v>112</v>
      </c>
      <c r="D21" s="56" t="s">
        <v>221</v>
      </c>
      <c r="E21" s="34"/>
    </row>
    <row r="22" spans="1:5" x14ac:dyDescent="0.25">
      <c r="A22" s="34" t="s">
        <v>222</v>
      </c>
      <c r="B22" s="53" t="s">
        <v>223</v>
      </c>
      <c r="C22" s="73" t="s">
        <v>362</v>
      </c>
      <c r="D22" s="76">
        <v>0</v>
      </c>
      <c r="E22" s="34"/>
    </row>
    <row r="23" spans="1:5" x14ac:dyDescent="0.25">
      <c r="A23" s="34" t="s">
        <v>224</v>
      </c>
      <c r="B23" s="53" t="s">
        <v>225</v>
      </c>
      <c r="C23" s="73" t="s">
        <v>362</v>
      </c>
      <c r="D23" s="76">
        <v>0</v>
      </c>
      <c r="E23" s="34"/>
    </row>
    <row r="24" spans="1:5" x14ac:dyDescent="0.25">
      <c r="A24" s="34" t="s">
        <v>226</v>
      </c>
      <c r="B24" s="51" t="s">
        <v>227</v>
      </c>
      <c r="C24" s="74" t="s">
        <v>112</v>
      </c>
      <c r="D24" s="51" t="s">
        <v>281</v>
      </c>
      <c r="E24" s="34"/>
    </row>
    <row r="25" spans="1:5" x14ac:dyDescent="0.25">
      <c r="A25" s="34" t="s">
        <v>228</v>
      </c>
      <c r="B25" s="51" t="s">
        <v>229</v>
      </c>
      <c r="C25" s="74" t="s">
        <v>112</v>
      </c>
      <c r="D25" s="51" t="s">
        <v>282</v>
      </c>
      <c r="E25" s="34"/>
    </row>
    <row r="26" spans="1:5" x14ac:dyDescent="0.25">
      <c r="A26" s="34" t="s">
        <v>230</v>
      </c>
      <c r="B26" s="51" t="s">
        <v>231</v>
      </c>
      <c r="C26" s="74" t="s">
        <v>112</v>
      </c>
      <c r="D26" s="51" t="s">
        <v>283</v>
      </c>
      <c r="E26" s="38"/>
    </row>
    <row r="27" spans="1:5" x14ac:dyDescent="0.25">
      <c r="A27" s="34" t="s">
        <v>232</v>
      </c>
      <c r="B27" s="61" t="s">
        <v>233</v>
      </c>
      <c r="C27" s="74" t="s">
        <v>112</v>
      </c>
      <c r="D27" s="51" t="s">
        <v>127</v>
      </c>
      <c r="E27" s="38"/>
    </row>
    <row r="28" spans="1:5" x14ac:dyDescent="0.25">
      <c r="A28" s="34" t="s">
        <v>234</v>
      </c>
      <c r="B28" s="61" t="s">
        <v>235</v>
      </c>
      <c r="C28" s="74" t="s">
        <v>112</v>
      </c>
      <c r="D28" s="56" t="s">
        <v>284</v>
      </c>
      <c r="E28" s="38"/>
    </row>
    <row r="29" spans="1:5" x14ac:dyDescent="0.25">
      <c r="A29" s="34" t="s">
        <v>236</v>
      </c>
      <c r="B29" s="61" t="s">
        <v>237</v>
      </c>
      <c r="C29" s="74" t="s">
        <v>112</v>
      </c>
      <c r="D29" s="56" t="s">
        <v>238</v>
      </c>
      <c r="E29" s="38"/>
    </row>
    <row r="30" spans="1:5" x14ac:dyDescent="0.25">
      <c r="A30" s="34" t="s">
        <v>239</v>
      </c>
      <c r="B30" s="61" t="s">
        <v>240</v>
      </c>
      <c r="C30" s="74" t="s">
        <v>112</v>
      </c>
      <c r="D30" s="34" t="s">
        <v>285</v>
      </c>
      <c r="E30" s="38"/>
    </row>
    <row r="31" spans="1:5" x14ac:dyDescent="0.25">
      <c r="A31" s="34" t="s">
        <v>241</v>
      </c>
      <c r="B31" s="61" t="s">
        <v>242</v>
      </c>
      <c r="C31" s="74" t="s">
        <v>112</v>
      </c>
      <c r="D31" s="34" t="s">
        <v>127</v>
      </c>
      <c r="E31" s="38"/>
    </row>
    <row r="32" spans="1:5" x14ac:dyDescent="0.25">
      <c r="A32" s="34" t="s">
        <v>243</v>
      </c>
      <c r="B32" s="61" t="s">
        <v>244</v>
      </c>
      <c r="C32" s="74" t="s">
        <v>112</v>
      </c>
      <c r="D32" s="51" t="s">
        <v>127</v>
      </c>
      <c r="E32" s="38"/>
    </row>
    <row r="33" spans="1:5" x14ac:dyDescent="0.25">
      <c r="A33" s="34" t="s">
        <v>130</v>
      </c>
      <c r="B33" s="51" t="s">
        <v>245</v>
      </c>
      <c r="C33" s="74" t="s">
        <v>132</v>
      </c>
      <c r="D33" s="51" t="s">
        <v>134</v>
      </c>
      <c r="E33" s="38"/>
    </row>
    <row r="34" spans="1:5" x14ac:dyDescent="0.25">
      <c r="A34" s="34" t="s">
        <v>246</v>
      </c>
      <c r="B34" s="51" t="s">
        <v>247</v>
      </c>
      <c r="C34" s="74" t="s">
        <v>132</v>
      </c>
      <c r="D34" s="51" t="s">
        <v>127</v>
      </c>
      <c r="E34" s="38"/>
    </row>
    <row r="35" spans="1:5" x14ac:dyDescent="0.25">
      <c r="A35" s="34" t="s">
        <v>162</v>
      </c>
      <c r="B35" s="51" t="s">
        <v>248</v>
      </c>
      <c r="C35" s="74" t="s">
        <v>112</v>
      </c>
      <c r="D35" s="51" t="s">
        <v>127</v>
      </c>
      <c r="E35" s="38"/>
    </row>
    <row r="36" spans="1:5" x14ac:dyDescent="0.25">
      <c r="A36" s="34" t="s">
        <v>249</v>
      </c>
      <c r="B36" s="38" t="s">
        <v>250</v>
      </c>
      <c r="C36" s="35" t="s">
        <v>112</v>
      </c>
      <c r="D36" s="51" t="s">
        <v>286</v>
      </c>
      <c r="E36" s="38"/>
    </row>
    <row r="37" spans="1:5" x14ac:dyDescent="0.25">
      <c r="A37" s="34" t="s">
        <v>202</v>
      </c>
      <c r="B37" s="34" t="s">
        <v>203</v>
      </c>
      <c r="C37" s="34" t="s">
        <v>112</v>
      </c>
      <c r="D37" s="57" t="s">
        <v>252</v>
      </c>
      <c r="E37" s="33"/>
    </row>
    <row r="38" spans="1:5" x14ac:dyDescent="0.25">
      <c r="A38" s="71" t="s">
        <v>164</v>
      </c>
      <c r="B38" s="34" t="s">
        <v>165</v>
      </c>
      <c r="C38" s="34" t="s">
        <v>166</v>
      </c>
      <c r="D38" s="85" t="s">
        <v>257</v>
      </c>
      <c r="E38" s="33" t="s">
        <v>260</v>
      </c>
    </row>
    <row r="39" spans="1:5" x14ac:dyDescent="0.25">
      <c r="A39" s="34" t="s">
        <v>261</v>
      </c>
      <c r="B39" s="10" t="s">
        <v>261</v>
      </c>
      <c r="C39" s="10" t="s">
        <v>347</v>
      </c>
      <c r="D39" s="10" t="s">
        <v>127</v>
      </c>
      <c r="E39" s="10"/>
    </row>
  </sheetData>
  <hyperlinks>
    <hyperlink ref="A3" location="IDB_PH1_CIM_NOTIF_PREFERENCE!A1" display="IDB_PH1_CIM_NOTIF_PREFERENCE!A1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D1" sqref="D1"/>
    </sheetView>
  </sheetViews>
  <sheetFormatPr defaultColWidth="8.7109375" defaultRowHeight="15" x14ac:dyDescent="0.25"/>
  <cols>
    <col min="1" max="1" width="20" customWidth="1"/>
    <col min="2" max="2" width="62.28515625" customWidth="1"/>
    <col min="3" max="5" width="17.7109375" customWidth="1"/>
  </cols>
  <sheetData>
    <row r="1" spans="1:6" x14ac:dyDescent="0.25">
      <c r="A1" s="225" t="s">
        <v>92</v>
      </c>
      <c r="B1" s="40" t="s">
        <v>267</v>
      </c>
      <c r="D1" s="41" t="str">
        <f>HYPERLINK("#IDB_Level1!$A$1","Returnt to Index")</f>
        <v>Returnt to Index</v>
      </c>
    </row>
    <row r="2" spans="1:6" x14ac:dyDescent="0.25">
      <c r="A2" s="225" t="s">
        <v>93</v>
      </c>
      <c r="B2" s="40" t="s">
        <v>88</v>
      </c>
      <c r="D2" s="42" t="s">
        <v>94</v>
      </c>
    </row>
    <row r="3" spans="1:6" x14ac:dyDescent="0.25">
      <c r="A3" s="225" t="s">
        <v>95</v>
      </c>
      <c r="B3" s="33"/>
    </row>
    <row r="4" spans="1:6" x14ac:dyDescent="0.25">
      <c r="A4" s="225" t="s">
        <v>96</v>
      </c>
      <c r="B4" s="40"/>
    </row>
    <row r="5" spans="1:6" x14ac:dyDescent="0.25">
      <c r="A5" s="225" t="s">
        <v>99</v>
      </c>
      <c r="B5" s="40" t="s">
        <v>71</v>
      </c>
    </row>
    <row r="6" spans="1:6" x14ac:dyDescent="0.25">
      <c r="A6" s="225" t="s">
        <v>100</v>
      </c>
      <c r="B6" s="33"/>
    </row>
    <row r="7" spans="1:6" ht="38.25" x14ac:dyDescent="0.25">
      <c r="A7" s="225" t="s">
        <v>101</v>
      </c>
      <c r="B7" s="40" t="s">
        <v>585</v>
      </c>
    </row>
    <row r="8" spans="1:6" x14ac:dyDescent="0.25">
      <c r="A8" s="39" t="s">
        <v>77</v>
      </c>
      <c r="B8" s="40" t="s">
        <v>493</v>
      </c>
    </row>
    <row r="9" spans="1:6" x14ac:dyDescent="0.25">
      <c r="A9" s="225" t="s">
        <v>366</v>
      </c>
      <c r="B9" s="40"/>
    </row>
    <row r="10" spans="1:6" x14ac:dyDescent="0.25">
      <c r="A10" s="227" t="s">
        <v>102</v>
      </c>
      <c r="B10" s="40" t="s">
        <v>564</v>
      </c>
    </row>
    <row r="12" spans="1:6" x14ac:dyDescent="0.25">
      <c r="A12" s="220" t="s">
        <v>107</v>
      </c>
      <c r="B12" s="37" t="s">
        <v>108</v>
      </c>
      <c r="C12" s="220" t="s">
        <v>109</v>
      </c>
      <c r="D12" s="220" t="s">
        <v>110</v>
      </c>
      <c r="E12" s="220" t="s">
        <v>34</v>
      </c>
      <c r="F12" s="220" t="s">
        <v>84</v>
      </c>
    </row>
    <row r="13" spans="1:6" x14ac:dyDescent="0.25">
      <c r="A13" s="40" t="s">
        <v>574</v>
      </c>
      <c r="B13" s="40" t="s">
        <v>575</v>
      </c>
      <c r="C13" s="40" t="s">
        <v>178</v>
      </c>
      <c r="D13" s="40" t="s">
        <v>127</v>
      </c>
      <c r="E13" s="40"/>
      <c r="F13" s="10"/>
    </row>
    <row r="14" spans="1:6" x14ac:dyDescent="0.25">
      <c r="A14" s="40" t="s">
        <v>576</v>
      </c>
      <c r="B14" s="40" t="s">
        <v>577</v>
      </c>
      <c r="C14" s="40" t="s">
        <v>132</v>
      </c>
      <c r="D14" s="40" t="s">
        <v>127</v>
      </c>
      <c r="E14" s="40"/>
      <c r="F14" s="10"/>
    </row>
    <row r="15" spans="1:6" ht="38.25" x14ac:dyDescent="0.25">
      <c r="A15" s="40" t="s">
        <v>578</v>
      </c>
      <c r="B15" s="40" t="s">
        <v>579</v>
      </c>
      <c r="C15" s="40" t="s">
        <v>586</v>
      </c>
      <c r="D15" s="40" t="s">
        <v>127</v>
      </c>
      <c r="E15" s="40"/>
      <c r="F15" s="10"/>
    </row>
    <row r="16" spans="1:6" x14ac:dyDescent="0.25">
      <c r="A16" s="40" t="s">
        <v>580</v>
      </c>
      <c r="B16" s="40" t="s">
        <v>581</v>
      </c>
      <c r="C16" s="40" t="s">
        <v>586</v>
      </c>
      <c r="D16" s="40" t="s">
        <v>127</v>
      </c>
      <c r="E16" s="40"/>
      <c r="F16" s="10"/>
    </row>
    <row r="17" spans="1:6" x14ac:dyDescent="0.25">
      <c r="A17" s="40" t="s">
        <v>130</v>
      </c>
      <c r="B17" s="40" t="s">
        <v>582</v>
      </c>
      <c r="C17" s="40" t="s">
        <v>132</v>
      </c>
      <c r="D17" s="40" t="s">
        <v>127</v>
      </c>
      <c r="E17" s="40"/>
      <c r="F17" s="10"/>
    </row>
    <row r="18" spans="1:6" x14ac:dyDescent="0.25">
      <c r="A18" s="40" t="s">
        <v>246</v>
      </c>
      <c r="B18" s="40" t="s">
        <v>583</v>
      </c>
      <c r="C18" s="40" t="s">
        <v>132</v>
      </c>
      <c r="D18" s="40" t="s">
        <v>127</v>
      </c>
      <c r="E18" s="40"/>
      <c r="F18" s="10"/>
    </row>
    <row r="19" spans="1:6" x14ac:dyDescent="0.25">
      <c r="A19" s="40" t="s">
        <v>190</v>
      </c>
      <c r="B19" s="40" t="s">
        <v>584</v>
      </c>
      <c r="C19" s="40" t="s">
        <v>132</v>
      </c>
      <c r="D19" s="40" t="s">
        <v>127</v>
      </c>
      <c r="E19" s="40"/>
      <c r="F19" s="10" t="s">
        <v>260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zoomScaleNormal="100" workbookViewId="0">
      <selection activeCell="G25" sqref="G25"/>
    </sheetView>
  </sheetViews>
  <sheetFormatPr defaultColWidth="8.7109375" defaultRowHeight="15" x14ac:dyDescent="0.25"/>
  <cols>
    <col min="1" max="1" width="22.140625" customWidth="1"/>
    <col min="2" max="2" width="62.140625" customWidth="1"/>
    <col min="3" max="3" width="17.7109375" customWidth="1"/>
    <col min="4" max="4" width="26.7109375" customWidth="1"/>
  </cols>
  <sheetData>
    <row r="1" spans="1:4" ht="14.65" customHeight="1" x14ac:dyDescent="0.25">
      <c r="A1" s="225" t="s">
        <v>92</v>
      </c>
      <c r="B1" s="83" t="s">
        <v>268</v>
      </c>
      <c r="D1" s="41" t="str">
        <f>HYPERLINK("#IDB_Level1!$A$1","Returnt to Index")</f>
        <v>Returnt to Index</v>
      </c>
    </row>
    <row r="2" spans="1:4" x14ac:dyDescent="0.25">
      <c r="A2" s="225" t="s">
        <v>93</v>
      </c>
      <c r="B2" s="40" t="s">
        <v>88</v>
      </c>
      <c r="D2" s="42" t="s">
        <v>94</v>
      </c>
    </row>
    <row r="3" spans="1:4" x14ac:dyDescent="0.25">
      <c r="A3" s="225" t="s">
        <v>95</v>
      </c>
      <c r="B3" s="33"/>
    </row>
    <row r="4" spans="1:4" x14ac:dyDescent="0.25">
      <c r="A4" s="225" t="s">
        <v>270</v>
      </c>
      <c r="B4" s="33"/>
    </row>
    <row r="5" spans="1:4" x14ac:dyDescent="0.25">
      <c r="A5" s="225" t="s">
        <v>96</v>
      </c>
      <c r="B5" s="40" t="s">
        <v>88</v>
      </c>
    </row>
    <row r="6" spans="1:4" x14ac:dyDescent="0.25">
      <c r="A6" s="225" t="s">
        <v>97</v>
      </c>
      <c r="B6" s="81" t="s">
        <v>272</v>
      </c>
    </row>
    <row r="7" spans="1:4" x14ac:dyDescent="0.25">
      <c r="A7" s="225" t="s">
        <v>99</v>
      </c>
      <c r="B7" s="135" t="s">
        <v>272</v>
      </c>
    </row>
    <row r="8" spans="1:4" x14ac:dyDescent="0.25">
      <c r="A8" s="225" t="s">
        <v>100</v>
      </c>
      <c r="B8" s="33"/>
    </row>
    <row r="9" spans="1:4" ht="30" x14ac:dyDescent="0.25">
      <c r="A9" s="225" t="s">
        <v>101</v>
      </c>
      <c r="B9" s="91" t="s">
        <v>389</v>
      </c>
    </row>
    <row r="10" spans="1:4" ht="39" x14ac:dyDescent="0.25">
      <c r="A10" s="39" t="s">
        <v>77</v>
      </c>
      <c r="B10" s="81" t="s">
        <v>271</v>
      </c>
    </row>
    <row r="11" spans="1:4" x14ac:dyDescent="0.25">
      <c r="A11" s="225" t="s">
        <v>102</v>
      </c>
      <c r="B11" s="81" t="s">
        <v>557</v>
      </c>
    </row>
    <row r="12" spans="1:4" x14ac:dyDescent="0.25">
      <c r="A12" s="225" t="s">
        <v>366</v>
      </c>
      <c r="B12" s="33" t="s">
        <v>367</v>
      </c>
    </row>
    <row r="14" spans="1:4" x14ac:dyDescent="0.25">
      <c r="A14" s="232" t="s">
        <v>107</v>
      </c>
      <c r="B14" s="49" t="s">
        <v>108</v>
      </c>
      <c r="C14" s="232" t="s">
        <v>109</v>
      </c>
      <c r="D14" s="232" t="s">
        <v>110</v>
      </c>
    </row>
    <row r="15" spans="1:4" x14ac:dyDescent="0.25">
      <c r="A15" s="81" t="s">
        <v>272</v>
      </c>
      <c r="B15" s="81" t="s">
        <v>273</v>
      </c>
      <c r="C15" s="81" t="s">
        <v>178</v>
      </c>
      <c r="D15" s="57" t="s">
        <v>252</v>
      </c>
    </row>
    <row r="16" spans="1:4" x14ac:dyDescent="0.25">
      <c r="A16" s="81" t="s">
        <v>274</v>
      </c>
      <c r="B16" s="81" t="s">
        <v>351</v>
      </c>
      <c r="C16" s="81" t="s">
        <v>275</v>
      </c>
      <c r="D16" s="86" t="s">
        <v>349</v>
      </c>
    </row>
    <row r="17" spans="1:4" x14ac:dyDescent="0.25">
      <c r="A17" s="81" t="s">
        <v>276</v>
      </c>
      <c r="B17" s="81" t="s">
        <v>350</v>
      </c>
      <c r="C17" s="81" t="s">
        <v>275</v>
      </c>
      <c r="D17" s="81" t="s">
        <v>277</v>
      </c>
    </row>
    <row r="18" spans="1:4" x14ac:dyDescent="0.25">
      <c r="A18" s="81" t="s">
        <v>278</v>
      </c>
      <c r="B18" s="81" t="s">
        <v>279</v>
      </c>
      <c r="C18" s="81" t="s">
        <v>275</v>
      </c>
      <c r="D18" s="86" t="s">
        <v>287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Normal="100" workbookViewId="0">
      <selection activeCell="C13" sqref="C13:F13"/>
    </sheetView>
  </sheetViews>
  <sheetFormatPr defaultColWidth="8.7109375" defaultRowHeight="15" x14ac:dyDescent="0.25"/>
  <cols>
    <col min="1" max="1" width="24.42578125" customWidth="1"/>
    <col min="2" max="2" width="64.42578125" customWidth="1"/>
    <col min="3" max="3" width="17.7109375" customWidth="1"/>
    <col min="4" max="4" width="33.28515625" customWidth="1"/>
    <col min="5" max="5" width="17.7109375" customWidth="1"/>
  </cols>
  <sheetData>
    <row r="1" spans="1:6" x14ac:dyDescent="0.25">
      <c r="A1" s="225" t="s">
        <v>92</v>
      </c>
      <c r="B1" s="40" t="s">
        <v>424</v>
      </c>
      <c r="D1" s="41" t="str">
        <f>HYPERLINK("#IDB_Level1!$A$1","Returnt to Index")</f>
        <v>Returnt to Index</v>
      </c>
    </row>
    <row r="2" spans="1:6" x14ac:dyDescent="0.25">
      <c r="A2" s="225" t="s">
        <v>93</v>
      </c>
      <c r="B2" s="40" t="s">
        <v>88</v>
      </c>
      <c r="D2" s="44" t="s">
        <v>94</v>
      </c>
    </row>
    <row r="3" spans="1:6" x14ac:dyDescent="0.25">
      <c r="A3" s="225" t="s">
        <v>95</v>
      </c>
      <c r="B3" s="33"/>
    </row>
    <row r="4" spans="1:6" ht="14.65" customHeight="1" x14ac:dyDescent="0.25">
      <c r="A4" s="225" t="s">
        <v>97</v>
      </c>
      <c r="B4" s="83" t="s">
        <v>288</v>
      </c>
    </row>
    <row r="5" spans="1:6" x14ac:dyDescent="0.25">
      <c r="A5" s="225" t="s">
        <v>99</v>
      </c>
      <c r="B5" s="33" t="s">
        <v>289</v>
      </c>
    </row>
    <row r="6" spans="1:6" x14ac:dyDescent="0.25">
      <c r="A6" s="225" t="s">
        <v>100</v>
      </c>
      <c r="B6" s="33"/>
    </row>
    <row r="7" spans="1:6" ht="30" x14ac:dyDescent="0.25">
      <c r="A7" s="225" t="s">
        <v>101</v>
      </c>
      <c r="B7" s="121" t="s">
        <v>389</v>
      </c>
    </row>
    <row r="8" spans="1:6" ht="30" x14ac:dyDescent="0.25">
      <c r="A8" s="39" t="s">
        <v>77</v>
      </c>
      <c r="B8" s="87" t="s">
        <v>314</v>
      </c>
    </row>
    <row r="9" spans="1:6" x14ac:dyDescent="0.25">
      <c r="A9" s="227" t="s">
        <v>103</v>
      </c>
      <c r="B9" s="87" t="s">
        <v>661</v>
      </c>
    </row>
    <row r="10" spans="1:6" x14ac:dyDescent="0.25">
      <c r="A10" s="233" t="s">
        <v>102</v>
      </c>
      <c r="B10" s="40" t="s">
        <v>558</v>
      </c>
    </row>
    <row r="11" spans="1:6" x14ac:dyDescent="0.25">
      <c r="A11" s="225" t="s">
        <v>366</v>
      </c>
      <c r="B11" s="33" t="s">
        <v>367</v>
      </c>
    </row>
    <row r="13" spans="1:6" x14ac:dyDescent="0.25">
      <c r="A13" s="232" t="s">
        <v>107</v>
      </c>
      <c r="B13" s="49" t="s">
        <v>108</v>
      </c>
      <c r="C13" s="232" t="s">
        <v>109</v>
      </c>
      <c r="D13" s="232" t="s">
        <v>110</v>
      </c>
      <c r="E13" s="232" t="s">
        <v>34</v>
      </c>
      <c r="F13" s="232" t="s">
        <v>84</v>
      </c>
    </row>
    <row r="14" spans="1:6" x14ac:dyDescent="0.25">
      <c r="A14" s="34" t="s">
        <v>289</v>
      </c>
      <c r="B14" s="34" t="s">
        <v>177</v>
      </c>
      <c r="C14" s="34" t="s">
        <v>178</v>
      </c>
      <c r="D14" s="57" t="s">
        <v>252</v>
      </c>
      <c r="E14" s="34"/>
      <c r="F14" s="10"/>
    </row>
    <row r="15" spans="1:6" x14ac:dyDescent="0.25">
      <c r="A15" s="34" t="s">
        <v>290</v>
      </c>
      <c r="B15" s="34" t="s">
        <v>291</v>
      </c>
      <c r="C15" s="34" t="s">
        <v>112</v>
      </c>
      <c r="D15" s="51" t="s">
        <v>253</v>
      </c>
      <c r="E15" s="34"/>
      <c r="F15" s="10"/>
    </row>
    <row r="16" spans="1:6" x14ac:dyDescent="0.25">
      <c r="A16" s="34" t="s">
        <v>292</v>
      </c>
      <c r="B16" s="34" t="s">
        <v>293</v>
      </c>
      <c r="C16" s="34" t="s">
        <v>112</v>
      </c>
      <c r="D16" s="51" t="s">
        <v>315</v>
      </c>
      <c r="E16" s="34"/>
      <c r="F16" s="10"/>
    </row>
    <row r="17" spans="1:6" ht="30" x14ac:dyDescent="0.25">
      <c r="A17" s="34" t="s">
        <v>294</v>
      </c>
      <c r="B17" s="14" t="s">
        <v>295</v>
      </c>
      <c r="C17" s="34" t="s">
        <v>112</v>
      </c>
      <c r="D17" s="88" t="s">
        <v>127</v>
      </c>
      <c r="E17" s="34"/>
      <c r="F17" s="10"/>
    </row>
    <row r="18" spans="1:6" ht="14.65" customHeight="1" x14ac:dyDescent="0.25">
      <c r="A18" s="34" t="s">
        <v>296</v>
      </c>
      <c r="B18" s="14" t="s">
        <v>297</v>
      </c>
      <c r="C18" s="34" t="s">
        <v>112</v>
      </c>
      <c r="D18" s="88" t="s">
        <v>127</v>
      </c>
      <c r="E18" s="34"/>
      <c r="F18" s="10"/>
    </row>
    <row r="19" spans="1:6" x14ac:dyDescent="0.25">
      <c r="A19" s="34" t="s">
        <v>298</v>
      </c>
      <c r="B19" s="14" t="s">
        <v>299</v>
      </c>
      <c r="C19" s="34" t="s">
        <v>112</v>
      </c>
      <c r="D19" s="88" t="s">
        <v>127</v>
      </c>
      <c r="E19" s="34"/>
      <c r="F19" s="10"/>
    </row>
    <row r="20" spans="1:6" ht="30" x14ac:dyDescent="0.25">
      <c r="A20" s="34" t="s">
        <v>300</v>
      </c>
      <c r="B20" s="14" t="s">
        <v>301</v>
      </c>
      <c r="C20" s="34" t="s">
        <v>112</v>
      </c>
      <c r="D20" s="88" t="s">
        <v>127</v>
      </c>
      <c r="E20" s="34"/>
      <c r="F20" s="10"/>
    </row>
    <row r="21" spans="1:6" ht="14.65" customHeight="1" x14ac:dyDescent="0.25">
      <c r="A21" s="34" t="s">
        <v>302</v>
      </c>
      <c r="B21" s="14" t="s">
        <v>303</v>
      </c>
      <c r="C21" s="34" t="s">
        <v>112</v>
      </c>
      <c r="D21" s="88" t="s">
        <v>363</v>
      </c>
      <c r="E21" s="55"/>
      <c r="F21" s="10"/>
    </row>
    <row r="22" spans="1:6" ht="30" x14ac:dyDescent="0.25">
      <c r="A22" s="34" t="s">
        <v>304</v>
      </c>
      <c r="B22" s="14" t="s">
        <v>305</v>
      </c>
      <c r="C22" s="34" t="s">
        <v>112</v>
      </c>
      <c r="D22" s="88" t="s">
        <v>127</v>
      </c>
      <c r="E22" s="55"/>
      <c r="F22" s="10"/>
    </row>
    <row r="23" spans="1:6" ht="30" x14ac:dyDescent="0.25">
      <c r="A23" s="34" t="s">
        <v>306</v>
      </c>
      <c r="B23" s="14" t="s">
        <v>307</v>
      </c>
      <c r="C23" s="34" t="s">
        <v>112</v>
      </c>
      <c r="D23" s="88" t="s">
        <v>127</v>
      </c>
      <c r="E23" s="55"/>
      <c r="F23" s="10"/>
    </row>
    <row r="24" spans="1:6" ht="45" x14ac:dyDescent="0.25">
      <c r="A24" s="34" t="s">
        <v>308</v>
      </c>
      <c r="B24" s="14" t="s">
        <v>309</v>
      </c>
      <c r="C24" s="34" t="s">
        <v>112</v>
      </c>
      <c r="D24" s="89" t="s">
        <v>363</v>
      </c>
      <c r="E24" s="55"/>
      <c r="F24" s="10"/>
    </row>
    <row r="25" spans="1:6" ht="28.9" customHeight="1" x14ac:dyDescent="0.25">
      <c r="A25" s="34" t="s">
        <v>310</v>
      </c>
      <c r="B25" s="14" t="s">
        <v>311</v>
      </c>
      <c r="C25" s="34" t="s">
        <v>112</v>
      </c>
      <c r="D25" s="90" t="s">
        <v>253</v>
      </c>
      <c r="E25" s="55"/>
      <c r="F25" s="10"/>
    </row>
    <row r="26" spans="1:6" ht="60" x14ac:dyDescent="0.25">
      <c r="A26" s="34" t="s">
        <v>312</v>
      </c>
      <c r="B26" s="14" t="s">
        <v>313</v>
      </c>
      <c r="C26" s="34" t="s">
        <v>112</v>
      </c>
      <c r="D26" s="90" t="s">
        <v>127</v>
      </c>
      <c r="E26" s="55"/>
      <c r="F26" s="10"/>
    </row>
    <row r="27" spans="1:6" x14ac:dyDescent="0.25">
      <c r="A27" s="34" t="s">
        <v>190</v>
      </c>
      <c r="B27" s="14" t="s">
        <v>212</v>
      </c>
      <c r="C27" s="34" t="s">
        <v>132</v>
      </c>
      <c r="D27" s="38" t="s">
        <v>134</v>
      </c>
      <c r="E27" s="55"/>
      <c r="F27" s="55" t="s">
        <v>260</v>
      </c>
    </row>
    <row r="28" spans="1:6" x14ac:dyDescent="0.25">
      <c r="A28" s="34" t="s">
        <v>202</v>
      </c>
      <c r="B28" s="34" t="s">
        <v>203</v>
      </c>
      <c r="C28" s="34" t="s">
        <v>112</v>
      </c>
      <c r="D28" s="57" t="s">
        <v>252</v>
      </c>
      <c r="E28" s="55"/>
      <c r="F28" s="55" t="s">
        <v>260</v>
      </c>
    </row>
    <row r="29" spans="1:6" ht="14.65" customHeight="1" x14ac:dyDescent="0.25">
      <c r="A29" s="71" t="s">
        <v>164</v>
      </c>
      <c r="B29" s="34" t="s">
        <v>165</v>
      </c>
      <c r="C29" s="34" t="s">
        <v>166</v>
      </c>
      <c r="D29" s="56" t="s">
        <v>257</v>
      </c>
      <c r="E29" s="55"/>
      <c r="F29" s="55" t="s">
        <v>260</v>
      </c>
    </row>
    <row r="30" spans="1:6" x14ac:dyDescent="0.25">
      <c r="A30" s="34" t="s">
        <v>261</v>
      </c>
      <c r="B30" s="14" t="s">
        <v>261</v>
      </c>
      <c r="C30" s="34" t="s">
        <v>347</v>
      </c>
      <c r="D30" s="10" t="s">
        <v>127</v>
      </c>
      <c r="E30" s="10"/>
      <c r="F30" s="1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zoomScaleNormal="100" workbookViewId="0">
      <selection activeCell="E10" sqref="E10"/>
    </sheetView>
  </sheetViews>
  <sheetFormatPr defaultColWidth="8.7109375" defaultRowHeight="15" x14ac:dyDescent="0.25"/>
  <cols>
    <col min="1" max="1" width="22.140625" customWidth="1"/>
    <col min="2" max="2" width="64.42578125" customWidth="1"/>
    <col min="3" max="3" width="17.7109375" customWidth="1"/>
    <col min="4" max="4" width="36.42578125" bestFit="1" customWidth="1"/>
    <col min="5" max="5" width="17.7109375" customWidth="1"/>
  </cols>
  <sheetData>
    <row r="1" spans="1:6" x14ac:dyDescent="0.25">
      <c r="A1" s="225" t="s">
        <v>92</v>
      </c>
      <c r="B1" s="40" t="s">
        <v>368</v>
      </c>
      <c r="D1" s="41" t="str">
        <f>HYPERLINK("#IDB_Level1!$A$1","Returnt to Index")</f>
        <v>Returnt to Index</v>
      </c>
    </row>
    <row r="2" spans="1:6" x14ac:dyDescent="0.25">
      <c r="A2" s="225" t="s">
        <v>93</v>
      </c>
      <c r="B2" s="40" t="s">
        <v>88</v>
      </c>
      <c r="D2" s="42" t="s">
        <v>94</v>
      </c>
    </row>
    <row r="3" spans="1:6" x14ac:dyDescent="0.25">
      <c r="A3" s="225" t="s">
        <v>95</v>
      </c>
      <c r="B3" s="33"/>
    </row>
    <row r="4" spans="1:6" x14ac:dyDescent="0.25">
      <c r="A4" s="225" t="s">
        <v>96</v>
      </c>
      <c r="B4" s="40" t="s">
        <v>88</v>
      </c>
    </row>
    <row r="5" spans="1:6" x14ac:dyDescent="0.25">
      <c r="A5" s="225" t="s">
        <v>97</v>
      </c>
      <c r="B5" s="40" t="s">
        <v>316</v>
      </c>
    </row>
    <row r="6" spans="1:6" x14ac:dyDescent="0.25">
      <c r="A6" s="225" t="s">
        <v>99</v>
      </c>
      <c r="B6" s="33" t="s">
        <v>317</v>
      </c>
    </row>
    <row r="7" spans="1:6" x14ac:dyDescent="0.25">
      <c r="A7" s="225" t="s">
        <v>100</v>
      </c>
      <c r="B7" s="33"/>
    </row>
    <row r="8" spans="1:6" ht="28.9" customHeight="1" x14ac:dyDescent="0.25">
      <c r="A8" s="225" t="s">
        <v>101</v>
      </c>
      <c r="B8" s="122" t="s">
        <v>391</v>
      </c>
    </row>
    <row r="9" spans="1:6" x14ac:dyDescent="0.25">
      <c r="A9" s="39" t="s">
        <v>77</v>
      </c>
      <c r="B9" s="91" t="s">
        <v>331</v>
      </c>
    </row>
    <row r="10" spans="1:6" x14ac:dyDescent="0.25">
      <c r="A10" s="225" t="s">
        <v>103</v>
      </c>
      <c r="B10" s="33" t="s">
        <v>661</v>
      </c>
    </row>
    <row r="11" spans="1:6" x14ac:dyDescent="0.25">
      <c r="A11" s="233" t="s">
        <v>102</v>
      </c>
      <c r="B11" s="33" t="s">
        <v>559</v>
      </c>
    </row>
    <row r="12" spans="1:6" x14ac:dyDescent="0.25">
      <c r="A12" s="225" t="s">
        <v>366</v>
      </c>
      <c r="B12" s="33" t="s">
        <v>367</v>
      </c>
    </row>
    <row r="14" spans="1:6" x14ac:dyDescent="0.25">
      <c r="A14" s="220" t="s">
        <v>107</v>
      </c>
      <c r="B14" s="37" t="s">
        <v>108</v>
      </c>
      <c r="C14" s="220" t="s">
        <v>109</v>
      </c>
      <c r="D14" s="220" t="s">
        <v>110</v>
      </c>
      <c r="E14" s="220" t="s">
        <v>34</v>
      </c>
      <c r="F14" s="220" t="s">
        <v>84</v>
      </c>
    </row>
    <row r="15" spans="1:6" x14ac:dyDescent="0.25">
      <c r="A15" s="34" t="s">
        <v>289</v>
      </c>
      <c r="B15" s="34" t="s">
        <v>318</v>
      </c>
      <c r="C15" s="34" t="s">
        <v>178</v>
      </c>
      <c r="D15" s="57" t="s">
        <v>252</v>
      </c>
      <c r="E15" s="34"/>
      <c r="F15" s="10"/>
    </row>
    <row r="16" spans="1:6" ht="25.5" x14ac:dyDescent="0.25">
      <c r="A16" s="95" t="s">
        <v>319</v>
      </c>
      <c r="B16" s="34" t="s">
        <v>320</v>
      </c>
      <c r="C16" s="34" t="s">
        <v>112</v>
      </c>
      <c r="D16" s="50" t="s">
        <v>332</v>
      </c>
      <c r="E16" s="34"/>
      <c r="F16" s="10"/>
    </row>
    <row r="17" spans="1:6" x14ac:dyDescent="0.25">
      <c r="A17" s="34" t="s">
        <v>321</v>
      </c>
      <c r="B17" s="34" t="s">
        <v>322</v>
      </c>
      <c r="C17" s="34" t="s">
        <v>112</v>
      </c>
      <c r="D17" s="57" t="s">
        <v>348</v>
      </c>
      <c r="E17" s="34"/>
      <c r="F17" s="10"/>
    </row>
    <row r="18" spans="1:6" x14ac:dyDescent="0.25">
      <c r="A18" s="33" t="s">
        <v>323</v>
      </c>
      <c r="B18" s="33" t="s">
        <v>324</v>
      </c>
      <c r="C18" s="33" t="s">
        <v>132</v>
      </c>
      <c r="D18" s="92" t="s">
        <v>134</v>
      </c>
      <c r="E18" s="33"/>
      <c r="F18" s="10"/>
    </row>
    <row r="19" spans="1:6" x14ac:dyDescent="0.25">
      <c r="A19" s="33" t="s">
        <v>325</v>
      </c>
      <c r="B19" s="33" t="s">
        <v>326</v>
      </c>
      <c r="C19" s="33" t="s">
        <v>112</v>
      </c>
      <c r="D19" s="68" t="s">
        <v>127</v>
      </c>
      <c r="E19" s="33"/>
      <c r="F19" s="10"/>
    </row>
    <row r="20" spans="1:6" x14ac:dyDescent="0.25">
      <c r="A20" s="33" t="s">
        <v>130</v>
      </c>
      <c r="B20" s="33" t="s">
        <v>327</v>
      </c>
      <c r="C20" s="33" t="s">
        <v>132</v>
      </c>
      <c r="D20" s="92" t="s">
        <v>134</v>
      </c>
      <c r="E20" s="33"/>
      <c r="F20" s="10"/>
    </row>
    <row r="21" spans="1:6" x14ac:dyDescent="0.25">
      <c r="A21" s="33" t="s">
        <v>246</v>
      </c>
      <c r="B21" s="33" t="s">
        <v>328</v>
      </c>
      <c r="C21" s="33" t="s">
        <v>132</v>
      </c>
      <c r="D21" s="92" t="s">
        <v>134</v>
      </c>
      <c r="E21" s="33"/>
      <c r="F21" s="10"/>
    </row>
    <row r="22" spans="1:6" x14ac:dyDescent="0.25">
      <c r="A22" s="33" t="s">
        <v>190</v>
      </c>
      <c r="B22" s="10" t="s">
        <v>212</v>
      </c>
      <c r="C22" s="33" t="s">
        <v>132</v>
      </c>
      <c r="D22" s="92" t="s">
        <v>134</v>
      </c>
      <c r="E22" s="10"/>
      <c r="F22" s="10" t="s">
        <v>260</v>
      </c>
    </row>
    <row r="23" spans="1:6" x14ac:dyDescent="0.25">
      <c r="A23" s="33" t="s">
        <v>329</v>
      </c>
      <c r="B23" s="10" t="s">
        <v>330</v>
      </c>
      <c r="C23" s="33" t="s">
        <v>112</v>
      </c>
      <c r="D23" s="93" t="s">
        <v>127</v>
      </c>
      <c r="E23" s="10"/>
      <c r="F23" s="10" t="s">
        <v>260</v>
      </c>
    </row>
    <row r="24" spans="1:6" x14ac:dyDescent="0.25">
      <c r="A24" s="34" t="s">
        <v>202</v>
      </c>
      <c r="B24" s="34" t="s">
        <v>203</v>
      </c>
      <c r="C24" s="34" t="s">
        <v>112</v>
      </c>
      <c r="D24" s="57" t="s">
        <v>252</v>
      </c>
      <c r="E24" s="33"/>
      <c r="F24" s="10" t="s">
        <v>260</v>
      </c>
    </row>
    <row r="25" spans="1:6" ht="14.65" customHeight="1" x14ac:dyDescent="0.25">
      <c r="A25" s="94" t="s">
        <v>164</v>
      </c>
      <c r="B25" s="34" t="s">
        <v>165</v>
      </c>
      <c r="C25" s="33" t="s">
        <v>166</v>
      </c>
      <c r="D25" s="50" t="s">
        <v>257</v>
      </c>
      <c r="E25" s="10"/>
      <c r="F25" s="10" t="s">
        <v>260</v>
      </c>
    </row>
    <row r="26" spans="1:6" x14ac:dyDescent="0.25">
      <c r="A26" s="100" t="s">
        <v>162</v>
      </c>
      <c r="B26" s="34" t="s">
        <v>163</v>
      </c>
      <c r="C26" s="34" t="s">
        <v>112</v>
      </c>
      <c r="D26" s="79" t="s">
        <v>127</v>
      </c>
      <c r="E26" s="10"/>
      <c r="F26" s="10"/>
    </row>
    <row r="27" spans="1:6" x14ac:dyDescent="0.25">
      <c r="A27" s="34" t="s">
        <v>261</v>
      </c>
      <c r="B27" s="14" t="s">
        <v>261</v>
      </c>
      <c r="C27" s="34" t="s">
        <v>347</v>
      </c>
      <c r="D27" s="10" t="s">
        <v>127</v>
      </c>
      <c r="E27" s="10"/>
      <c r="F27" s="10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zoomScaleNormal="100" workbookViewId="0">
      <selection activeCell="I20" sqref="I20"/>
    </sheetView>
  </sheetViews>
  <sheetFormatPr defaultColWidth="8.7109375" defaultRowHeight="15" x14ac:dyDescent="0.25"/>
  <cols>
    <col min="1" max="1" width="26.7109375" customWidth="1"/>
    <col min="2" max="2" width="44.42578125" customWidth="1"/>
    <col min="3" max="3" width="17.7109375" customWidth="1"/>
    <col min="4" max="4" width="24.42578125" customWidth="1"/>
    <col min="5" max="5" width="17.7109375" customWidth="1"/>
  </cols>
  <sheetData>
    <row r="1" spans="1:6" x14ac:dyDescent="0.25">
      <c r="A1" s="225" t="s">
        <v>92</v>
      </c>
      <c r="B1" s="40" t="s">
        <v>269</v>
      </c>
      <c r="D1" s="41" t="str">
        <f>HYPERLINK("#IDB_Level1!$A$1","Returnt to Index")</f>
        <v>Returnt to Index</v>
      </c>
    </row>
    <row r="2" spans="1:6" x14ac:dyDescent="0.25">
      <c r="A2" s="225" t="s">
        <v>93</v>
      </c>
      <c r="B2" s="40" t="s">
        <v>88</v>
      </c>
      <c r="D2" s="42" t="s">
        <v>94</v>
      </c>
    </row>
    <row r="3" spans="1:6" x14ac:dyDescent="0.25">
      <c r="A3" s="225" t="s">
        <v>95</v>
      </c>
      <c r="B3" s="33"/>
    </row>
    <row r="4" spans="1:6" x14ac:dyDescent="0.25">
      <c r="A4" s="225" t="s">
        <v>97</v>
      </c>
      <c r="B4" s="40" t="s">
        <v>333</v>
      </c>
    </row>
    <row r="5" spans="1:6" x14ac:dyDescent="0.25">
      <c r="A5" s="225" t="s">
        <v>99</v>
      </c>
      <c r="B5" s="40" t="s">
        <v>71</v>
      </c>
    </row>
    <row r="6" spans="1:6" x14ac:dyDescent="0.25">
      <c r="A6" s="225" t="s">
        <v>100</v>
      </c>
      <c r="B6" s="33"/>
    </row>
    <row r="7" spans="1:6" ht="30" x14ac:dyDescent="0.25">
      <c r="A7" s="225" t="s">
        <v>101</v>
      </c>
      <c r="B7" s="82" t="s">
        <v>573</v>
      </c>
    </row>
    <row r="8" spans="1:6" ht="25.5" x14ac:dyDescent="0.25">
      <c r="A8" s="39" t="s">
        <v>77</v>
      </c>
      <c r="B8" s="43" t="s">
        <v>346</v>
      </c>
    </row>
    <row r="9" spans="1:6" x14ac:dyDescent="0.25">
      <c r="A9" s="225" t="s">
        <v>103</v>
      </c>
      <c r="B9" s="33" t="s">
        <v>104</v>
      </c>
    </row>
    <row r="10" spans="1:6" x14ac:dyDescent="0.25">
      <c r="A10" s="233" t="s">
        <v>102</v>
      </c>
      <c r="B10" s="40" t="s">
        <v>560</v>
      </c>
    </row>
    <row r="11" spans="1:6" x14ac:dyDescent="0.25">
      <c r="A11" s="225" t="s">
        <v>366</v>
      </c>
      <c r="B11" s="33" t="s">
        <v>367</v>
      </c>
    </row>
    <row r="13" spans="1:6" x14ac:dyDescent="0.25">
      <c r="A13" s="232" t="s">
        <v>107</v>
      </c>
      <c r="B13" s="49" t="s">
        <v>108</v>
      </c>
      <c r="C13" s="232" t="s">
        <v>109</v>
      </c>
      <c r="D13" s="232" t="s">
        <v>110</v>
      </c>
      <c r="E13" s="232" t="s">
        <v>34</v>
      </c>
      <c r="F13" s="232" t="s">
        <v>84</v>
      </c>
    </row>
    <row r="14" spans="1:6" x14ac:dyDescent="0.25">
      <c r="A14" s="157" t="s">
        <v>333</v>
      </c>
      <c r="B14" s="34" t="s">
        <v>334</v>
      </c>
      <c r="C14" s="34" t="s">
        <v>112</v>
      </c>
      <c r="D14" s="57" t="s">
        <v>252</v>
      </c>
      <c r="E14" s="34"/>
      <c r="F14" s="10"/>
    </row>
    <row r="15" spans="1:6" x14ac:dyDescent="0.25">
      <c r="A15" s="157" t="s">
        <v>105</v>
      </c>
      <c r="B15" s="34" t="s">
        <v>335</v>
      </c>
      <c r="C15" s="34" t="s">
        <v>178</v>
      </c>
      <c r="D15" s="57" t="s">
        <v>252</v>
      </c>
      <c r="E15" s="34"/>
      <c r="F15" s="10"/>
    </row>
    <row r="16" spans="1:6" x14ac:dyDescent="0.25">
      <c r="A16" s="158" t="s">
        <v>336</v>
      </c>
      <c r="B16" s="33" t="s">
        <v>337</v>
      </c>
      <c r="C16" s="33" t="s">
        <v>112</v>
      </c>
      <c r="D16" s="97" t="s">
        <v>189</v>
      </c>
      <c r="E16" s="33"/>
      <c r="F16" s="10"/>
    </row>
    <row r="17" spans="1:6" ht="30" x14ac:dyDescent="0.25">
      <c r="A17" s="33" t="s">
        <v>113</v>
      </c>
      <c r="B17" s="33" t="s">
        <v>338</v>
      </c>
      <c r="C17" s="33" t="s">
        <v>112</v>
      </c>
      <c r="D17" s="97" t="s">
        <v>339</v>
      </c>
      <c r="E17" s="33"/>
      <c r="F17" s="10"/>
    </row>
    <row r="18" spans="1:6" x14ac:dyDescent="0.25">
      <c r="A18" s="158" t="s">
        <v>340</v>
      </c>
      <c r="B18" s="33" t="s">
        <v>341</v>
      </c>
      <c r="C18" s="33" t="s">
        <v>112</v>
      </c>
      <c r="D18" s="98" t="s">
        <v>127</v>
      </c>
      <c r="E18" s="33"/>
      <c r="F18" s="10"/>
    </row>
    <row r="19" spans="1:6" x14ac:dyDescent="0.25">
      <c r="A19" s="158" t="s">
        <v>329</v>
      </c>
      <c r="B19" s="33" t="s">
        <v>342</v>
      </c>
      <c r="C19" s="33" t="s">
        <v>112</v>
      </c>
      <c r="D19" s="98" t="s">
        <v>127</v>
      </c>
      <c r="E19" s="33"/>
      <c r="F19" s="10"/>
    </row>
    <row r="20" spans="1:6" x14ac:dyDescent="0.25">
      <c r="A20" s="158" t="s">
        <v>190</v>
      </c>
      <c r="B20" s="33" t="s">
        <v>343</v>
      </c>
      <c r="C20" s="33" t="s">
        <v>132</v>
      </c>
      <c r="D20" s="34" t="s">
        <v>134</v>
      </c>
      <c r="E20" s="33"/>
      <c r="F20" s="10" t="s">
        <v>260</v>
      </c>
    </row>
    <row r="21" spans="1:6" x14ac:dyDescent="0.25">
      <c r="A21" s="158" t="s">
        <v>344</v>
      </c>
      <c r="B21" s="33" t="s">
        <v>345</v>
      </c>
      <c r="C21" s="33" t="s">
        <v>112</v>
      </c>
      <c r="D21" s="96" t="s">
        <v>253</v>
      </c>
      <c r="E21" s="10"/>
      <c r="F21" s="10" t="s">
        <v>260</v>
      </c>
    </row>
    <row r="22" spans="1:6" ht="25.5" x14ac:dyDescent="0.25">
      <c r="A22" s="161" t="s">
        <v>164</v>
      </c>
      <c r="B22" s="34" t="s">
        <v>165</v>
      </c>
      <c r="C22" s="34" t="s">
        <v>166</v>
      </c>
      <c r="D22" s="85" t="s">
        <v>257</v>
      </c>
      <c r="E22" s="10"/>
      <c r="F22" s="10" t="s">
        <v>260</v>
      </c>
    </row>
    <row r="23" spans="1:6" x14ac:dyDescent="0.25">
      <c r="A23" s="157" t="s">
        <v>202</v>
      </c>
      <c r="B23" s="34" t="s">
        <v>203</v>
      </c>
      <c r="C23" s="34" t="s">
        <v>112</v>
      </c>
      <c r="D23" s="55" t="s">
        <v>252</v>
      </c>
      <c r="E23" s="33"/>
      <c r="F23" s="10" t="s">
        <v>260</v>
      </c>
    </row>
    <row r="24" spans="1:6" x14ac:dyDescent="0.25">
      <c r="A24" s="10" t="s">
        <v>261</v>
      </c>
      <c r="B24" s="158" t="s">
        <v>261</v>
      </c>
      <c r="C24" s="34" t="s">
        <v>112</v>
      </c>
      <c r="D24" s="10"/>
      <c r="E24" s="10"/>
      <c r="F24" s="10"/>
    </row>
    <row r="25" spans="1:6" x14ac:dyDescent="0.25">
      <c r="A25" s="10" t="s">
        <v>207</v>
      </c>
      <c r="B25" s="158" t="s">
        <v>563</v>
      </c>
      <c r="C25" s="34" t="s">
        <v>112</v>
      </c>
      <c r="D25" s="10"/>
      <c r="E25" s="10"/>
      <c r="F25" s="1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zoomScaleNormal="100" workbookViewId="0">
      <selection activeCell="D11" sqref="D11"/>
    </sheetView>
  </sheetViews>
  <sheetFormatPr defaultRowHeight="15" x14ac:dyDescent="0.25"/>
  <cols>
    <col min="1" max="1" width="35.5703125" customWidth="1"/>
    <col min="2" max="2" width="71.140625" customWidth="1"/>
    <col min="3" max="3" width="17.7109375" customWidth="1"/>
    <col min="4" max="4" width="26.7109375" customWidth="1"/>
    <col min="5" max="5" width="17.7109375" customWidth="1"/>
  </cols>
  <sheetData>
    <row r="1" spans="1:6" x14ac:dyDescent="0.25">
      <c r="A1" s="225" t="s">
        <v>92</v>
      </c>
      <c r="B1" s="40" t="s">
        <v>516</v>
      </c>
      <c r="D1" s="41" t="str">
        <f>HYPERLINK("#IDB_Level1!$A$1","Returnt to Index")</f>
        <v>Returnt to Index</v>
      </c>
    </row>
    <row r="2" spans="1:6" x14ac:dyDescent="0.25">
      <c r="A2" s="225" t="s">
        <v>93</v>
      </c>
      <c r="B2" s="40" t="s">
        <v>88</v>
      </c>
      <c r="D2" s="42" t="s">
        <v>94</v>
      </c>
    </row>
    <row r="3" spans="1:6" x14ac:dyDescent="0.25">
      <c r="A3" s="225" t="s">
        <v>95</v>
      </c>
      <c r="B3" s="33"/>
    </row>
    <row r="4" spans="1:6" x14ac:dyDescent="0.25">
      <c r="A4" s="225" t="s">
        <v>97</v>
      </c>
      <c r="B4" s="40" t="s">
        <v>98</v>
      </c>
    </row>
    <row r="5" spans="1:6" x14ac:dyDescent="0.25">
      <c r="A5" s="225" t="s">
        <v>99</v>
      </c>
      <c r="B5" s="40" t="s">
        <v>71</v>
      </c>
    </row>
    <row r="6" spans="1:6" x14ac:dyDescent="0.25">
      <c r="A6" s="225" t="s">
        <v>100</v>
      </c>
      <c r="B6" s="33"/>
    </row>
    <row r="7" spans="1:6" ht="30" x14ac:dyDescent="0.25">
      <c r="A7" s="225" t="s">
        <v>101</v>
      </c>
      <c r="B7" s="48" t="s">
        <v>389</v>
      </c>
    </row>
    <row r="8" spans="1:6" x14ac:dyDescent="0.25">
      <c r="A8" s="39" t="s">
        <v>77</v>
      </c>
      <c r="B8" s="170" t="s">
        <v>546</v>
      </c>
    </row>
    <row r="9" spans="1:6" x14ac:dyDescent="0.25">
      <c r="A9" s="225" t="s">
        <v>366</v>
      </c>
      <c r="B9" s="51" t="s">
        <v>367</v>
      </c>
    </row>
    <row r="10" spans="1:6" x14ac:dyDescent="0.25">
      <c r="A10" s="225" t="s">
        <v>103</v>
      </c>
      <c r="B10" s="33" t="s">
        <v>104</v>
      </c>
    </row>
    <row r="11" spans="1:6" x14ac:dyDescent="0.25">
      <c r="A11" s="227" t="s">
        <v>102</v>
      </c>
      <c r="B11" s="40" t="s">
        <v>561</v>
      </c>
    </row>
    <row r="13" spans="1:6" x14ac:dyDescent="0.25">
      <c r="A13" s="232" t="s">
        <v>107</v>
      </c>
      <c r="B13" s="49" t="s">
        <v>108</v>
      </c>
      <c r="C13" s="232" t="s">
        <v>109</v>
      </c>
      <c r="D13" s="232" t="s">
        <v>110</v>
      </c>
      <c r="E13" s="232" t="s">
        <v>34</v>
      </c>
      <c r="F13" s="234" t="s">
        <v>84</v>
      </c>
    </row>
    <row r="14" spans="1:6" x14ac:dyDescent="0.25">
      <c r="A14" s="157" t="s">
        <v>98</v>
      </c>
      <c r="B14" s="157" t="s">
        <v>177</v>
      </c>
      <c r="C14" s="157" t="s">
        <v>178</v>
      </c>
      <c r="D14" s="157" t="s">
        <v>252</v>
      </c>
      <c r="E14" s="157"/>
    </row>
    <row r="15" spans="1:6" x14ac:dyDescent="0.25">
      <c r="A15" s="157" t="s">
        <v>190</v>
      </c>
      <c r="B15" s="157" t="s">
        <v>212</v>
      </c>
      <c r="C15" s="157" t="s">
        <v>132</v>
      </c>
      <c r="D15" s="157" t="s">
        <v>134</v>
      </c>
      <c r="E15" s="157"/>
      <c r="F15" s="157" t="s">
        <v>260</v>
      </c>
    </row>
    <row r="16" spans="1:6" ht="25.5" x14ac:dyDescent="0.25">
      <c r="A16" s="157" t="s">
        <v>153</v>
      </c>
      <c r="B16" s="157" t="s">
        <v>154</v>
      </c>
      <c r="C16" s="157" t="s">
        <v>112</v>
      </c>
      <c r="D16" s="56" t="s">
        <v>155</v>
      </c>
      <c r="E16" s="157"/>
      <c r="F16" s="157" t="s">
        <v>260</v>
      </c>
    </row>
    <row r="17" spans="1:6" x14ac:dyDescent="0.25">
      <c r="A17" s="157" t="s">
        <v>519</v>
      </c>
      <c r="B17" s="157" t="s">
        <v>520</v>
      </c>
      <c r="C17" s="157" t="s">
        <v>132</v>
      </c>
      <c r="D17" s="51" t="s">
        <v>127</v>
      </c>
      <c r="E17" s="157"/>
      <c r="F17" s="157" t="s">
        <v>260</v>
      </c>
    </row>
    <row r="18" spans="1:6" x14ac:dyDescent="0.25">
      <c r="A18" s="157" t="s">
        <v>521</v>
      </c>
      <c r="B18" s="157" t="s">
        <v>522</v>
      </c>
      <c r="C18" s="157" t="s">
        <v>112</v>
      </c>
      <c r="D18" s="51" t="s">
        <v>127</v>
      </c>
      <c r="E18" s="157"/>
      <c r="F18" s="157" t="s">
        <v>260</v>
      </c>
    </row>
    <row r="19" spans="1:6" x14ac:dyDescent="0.25">
      <c r="A19" s="157" t="s">
        <v>117</v>
      </c>
      <c r="B19" s="157" t="s">
        <v>523</v>
      </c>
      <c r="C19" s="157" t="s">
        <v>112</v>
      </c>
      <c r="D19" s="157" t="s">
        <v>252</v>
      </c>
      <c r="E19" s="157"/>
      <c r="F19" s="157"/>
    </row>
    <row r="20" spans="1:6" ht="30" x14ac:dyDescent="0.25">
      <c r="A20" s="157" t="s">
        <v>524</v>
      </c>
      <c r="B20" s="157" t="s">
        <v>525</v>
      </c>
      <c r="C20" s="166" t="s">
        <v>112</v>
      </c>
      <c r="D20" s="51" t="s">
        <v>526</v>
      </c>
      <c r="E20" s="157"/>
      <c r="F20" s="157" t="s">
        <v>260</v>
      </c>
    </row>
    <row r="21" spans="1:6" ht="25.5" x14ac:dyDescent="0.25">
      <c r="A21" s="157" t="s">
        <v>145</v>
      </c>
      <c r="B21" s="157" t="s">
        <v>146</v>
      </c>
      <c r="C21" s="157" t="s">
        <v>112</v>
      </c>
      <c r="D21" s="157" t="s">
        <v>527</v>
      </c>
      <c r="E21" s="157"/>
      <c r="F21" s="157" t="s">
        <v>260</v>
      </c>
    </row>
    <row r="22" spans="1:6" ht="25.5" x14ac:dyDescent="0.25">
      <c r="A22" s="157" t="s">
        <v>119</v>
      </c>
      <c r="B22" s="157" t="s">
        <v>528</v>
      </c>
      <c r="C22" s="157" t="s">
        <v>112</v>
      </c>
      <c r="D22" s="157" t="s">
        <v>189</v>
      </c>
      <c r="E22" s="162" t="s">
        <v>121</v>
      </c>
      <c r="F22" s="10"/>
    </row>
    <row r="23" spans="1:6" x14ac:dyDescent="0.25">
      <c r="A23" s="157" t="s">
        <v>162</v>
      </c>
      <c r="B23" s="167" t="s">
        <v>529</v>
      </c>
      <c r="C23" s="72" t="s">
        <v>112</v>
      </c>
      <c r="D23" s="91" t="s">
        <v>127</v>
      </c>
      <c r="E23" s="160"/>
      <c r="F23" s="10"/>
    </row>
    <row r="24" spans="1:6" x14ac:dyDescent="0.25">
      <c r="A24" s="157" t="s">
        <v>113</v>
      </c>
      <c r="B24" s="157" t="s">
        <v>530</v>
      </c>
      <c r="C24" s="164" t="s">
        <v>112</v>
      </c>
      <c r="D24" s="171" t="s">
        <v>127</v>
      </c>
      <c r="E24" s="157"/>
      <c r="F24" s="10"/>
    </row>
    <row r="25" spans="1:6" ht="25.5" x14ac:dyDescent="0.25">
      <c r="A25" s="157" t="s">
        <v>531</v>
      </c>
      <c r="B25" s="167" t="s">
        <v>532</v>
      </c>
      <c r="C25" s="164" t="s">
        <v>533</v>
      </c>
      <c r="D25" s="51" t="s">
        <v>534</v>
      </c>
      <c r="E25" s="160"/>
      <c r="F25" s="160" t="s">
        <v>260</v>
      </c>
    </row>
    <row r="26" spans="1:6" ht="89.25" x14ac:dyDescent="0.25">
      <c r="A26" s="157" t="s">
        <v>535</v>
      </c>
      <c r="B26" s="157" t="s">
        <v>536</v>
      </c>
      <c r="C26" s="164" t="s">
        <v>547</v>
      </c>
      <c r="D26" s="172" t="s">
        <v>548</v>
      </c>
      <c r="E26" s="157" t="s">
        <v>537</v>
      </c>
      <c r="F26" s="10"/>
    </row>
    <row r="27" spans="1:6" x14ac:dyDescent="0.25">
      <c r="A27" s="160" t="s">
        <v>538</v>
      </c>
      <c r="B27" s="160" t="s">
        <v>539</v>
      </c>
      <c r="C27" s="164" t="s">
        <v>132</v>
      </c>
      <c r="D27" s="51" t="s">
        <v>134</v>
      </c>
      <c r="E27" s="160"/>
      <c r="F27" s="160" t="s">
        <v>260</v>
      </c>
    </row>
    <row r="28" spans="1:6" x14ac:dyDescent="0.25">
      <c r="A28" s="160" t="s">
        <v>122</v>
      </c>
      <c r="B28" s="160" t="s">
        <v>540</v>
      </c>
      <c r="C28" s="168" t="s">
        <v>112</v>
      </c>
      <c r="D28" s="51" t="s">
        <v>264</v>
      </c>
      <c r="E28" s="160"/>
      <c r="F28" s="160"/>
    </row>
    <row r="29" spans="1:6" x14ac:dyDescent="0.25">
      <c r="A29" s="160" t="s">
        <v>125</v>
      </c>
      <c r="B29" s="160" t="s">
        <v>126</v>
      </c>
      <c r="C29" s="168" t="s">
        <v>112</v>
      </c>
      <c r="D29" s="51" t="s">
        <v>127</v>
      </c>
      <c r="E29" s="160"/>
      <c r="F29" s="160"/>
    </row>
    <row r="30" spans="1:6" x14ac:dyDescent="0.25">
      <c r="A30" s="160" t="s">
        <v>142</v>
      </c>
      <c r="B30" s="165" t="s">
        <v>188</v>
      </c>
      <c r="C30" s="164" t="s">
        <v>112</v>
      </c>
      <c r="D30" s="56" t="s">
        <v>499</v>
      </c>
      <c r="E30" s="165"/>
      <c r="F30" s="165" t="s">
        <v>260</v>
      </c>
    </row>
    <row r="31" spans="1:6" x14ac:dyDescent="0.25">
      <c r="A31" s="157" t="s">
        <v>133</v>
      </c>
      <c r="B31" s="160" t="s">
        <v>541</v>
      </c>
      <c r="C31" s="164" t="s">
        <v>132</v>
      </c>
      <c r="D31" s="51" t="s">
        <v>134</v>
      </c>
      <c r="E31" s="165"/>
      <c r="F31" s="165"/>
    </row>
    <row r="32" spans="1:6" x14ac:dyDescent="0.25">
      <c r="A32" s="157" t="s">
        <v>202</v>
      </c>
      <c r="B32" s="157" t="s">
        <v>203</v>
      </c>
      <c r="C32" s="164" t="s">
        <v>112</v>
      </c>
      <c r="D32" s="56" t="s">
        <v>542</v>
      </c>
      <c r="E32" s="165"/>
      <c r="F32" s="165" t="s">
        <v>260</v>
      </c>
    </row>
    <row r="33" spans="1:6" x14ac:dyDescent="0.25">
      <c r="A33" s="161" t="s">
        <v>164</v>
      </c>
      <c r="B33" s="157" t="s">
        <v>165</v>
      </c>
      <c r="C33" s="164" t="s">
        <v>166</v>
      </c>
      <c r="D33" s="56" t="s">
        <v>543</v>
      </c>
      <c r="E33" s="165"/>
      <c r="F33" s="165" t="s">
        <v>260</v>
      </c>
    </row>
    <row r="34" spans="1:6" ht="25.5" x14ac:dyDescent="0.25">
      <c r="A34" s="169" t="s">
        <v>204</v>
      </c>
      <c r="B34" s="157" t="s">
        <v>205</v>
      </c>
      <c r="C34" s="157" t="s">
        <v>112</v>
      </c>
      <c r="D34" s="169" t="s">
        <v>204</v>
      </c>
      <c r="E34" s="165"/>
      <c r="F34" s="165" t="s">
        <v>260</v>
      </c>
    </row>
    <row r="35" spans="1:6" ht="25.5" x14ac:dyDescent="0.25">
      <c r="A35" s="169" t="s">
        <v>167</v>
      </c>
      <c r="B35" s="157" t="s">
        <v>168</v>
      </c>
      <c r="C35" s="157" t="s">
        <v>112</v>
      </c>
      <c r="D35" s="51" t="s">
        <v>167</v>
      </c>
      <c r="E35" s="165"/>
      <c r="F35" s="165" t="s">
        <v>260</v>
      </c>
    </row>
    <row r="36" spans="1:6" ht="25.5" x14ac:dyDescent="0.25">
      <c r="A36" s="169" t="s">
        <v>544</v>
      </c>
      <c r="B36" s="157" t="s">
        <v>545</v>
      </c>
      <c r="C36" s="157" t="s">
        <v>112</v>
      </c>
      <c r="D36" s="157" t="s">
        <v>518</v>
      </c>
      <c r="E36" s="165"/>
      <c r="F36" s="165" t="s">
        <v>260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zoomScaleNormal="100" workbookViewId="0">
      <selection activeCell="H18" sqref="H18"/>
    </sheetView>
  </sheetViews>
  <sheetFormatPr defaultRowHeight="15" x14ac:dyDescent="0.25"/>
  <cols>
    <col min="1" max="1" width="17.7109375" customWidth="1"/>
    <col min="2" max="2" width="64.42578125" customWidth="1"/>
    <col min="3" max="3" width="17.7109375" customWidth="1"/>
    <col min="4" max="4" width="22.28515625" customWidth="1"/>
    <col min="5" max="5" width="17.7109375" customWidth="1"/>
  </cols>
  <sheetData>
    <row r="1" spans="1:6" x14ac:dyDescent="0.25">
      <c r="A1" s="225" t="s">
        <v>92</v>
      </c>
      <c r="B1" s="40" t="s">
        <v>513</v>
      </c>
      <c r="D1" s="41" t="str">
        <f>HYPERLINK("#IDB_Level2!$A$1","Returnt to Index")</f>
        <v>Returnt to Index</v>
      </c>
    </row>
    <row r="2" spans="1:6" x14ac:dyDescent="0.25">
      <c r="A2" s="225" t="s">
        <v>93</v>
      </c>
      <c r="B2" s="40" t="s">
        <v>88</v>
      </c>
      <c r="D2" s="42" t="s">
        <v>94</v>
      </c>
    </row>
    <row r="3" spans="1:6" ht="26.25" x14ac:dyDescent="0.25">
      <c r="A3" s="225" t="s">
        <v>95</v>
      </c>
      <c r="B3" s="33"/>
    </row>
    <row r="4" spans="1:6" x14ac:dyDescent="0.25">
      <c r="A4" s="225" t="s">
        <v>96</v>
      </c>
      <c r="B4" s="40" t="s">
        <v>88</v>
      </c>
    </row>
    <row r="5" spans="1:6" x14ac:dyDescent="0.25">
      <c r="A5" s="225" t="s">
        <v>97</v>
      </c>
      <c r="B5" s="40" t="s">
        <v>98</v>
      </c>
    </row>
    <row r="6" spans="1:6" x14ac:dyDescent="0.25">
      <c r="A6" s="225" t="s">
        <v>99</v>
      </c>
      <c r="B6" s="40" t="s">
        <v>71</v>
      </c>
    </row>
    <row r="7" spans="1:6" x14ac:dyDescent="0.25">
      <c r="A7" s="225" t="s">
        <v>100</v>
      </c>
      <c r="B7" s="33"/>
    </row>
    <row r="8" spans="1:6" ht="77.25" x14ac:dyDescent="0.25">
      <c r="A8" s="225" t="s">
        <v>101</v>
      </c>
      <c r="B8" s="33" t="s">
        <v>551</v>
      </c>
    </row>
    <row r="9" spans="1:6" x14ac:dyDescent="0.25">
      <c r="A9" s="39" t="s">
        <v>77</v>
      </c>
      <c r="B9" s="43" t="s">
        <v>493</v>
      </c>
    </row>
    <row r="10" spans="1:6" x14ac:dyDescent="0.25">
      <c r="A10" s="225" t="s">
        <v>103</v>
      </c>
      <c r="B10" s="33" t="s">
        <v>104</v>
      </c>
    </row>
    <row r="11" spans="1:6" ht="14.45" customHeight="1" x14ac:dyDescent="0.25">
      <c r="A11" s="225" t="s">
        <v>102</v>
      </c>
      <c r="B11" s="40" t="s">
        <v>562</v>
      </c>
    </row>
    <row r="12" spans="1:6" ht="14.45" customHeight="1" x14ac:dyDescent="0.25">
      <c r="A12" s="225" t="s">
        <v>366</v>
      </c>
      <c r="B12" s="33" t="s">
        <v>549</v>
      </c>
    </row>
    <row r="14" spans="1:6" x14ac:dyDescent="0.25">
      <c r="A14" s="231" t="s">
        <v>107</v>
      </c>
      <c r="B14" s="49" t="s">
        <v>108</v>
      </c>
      <c r="C14" s="232" t="s">
        <v>109</v>
      </c>
      <c r="D14" s="232" t="s">
        <v>110</v>
      </c>
      <c r="E14" s="232" t="s">
        <v>34</v>
      </c>
      <c r="F14" s="232" t="s">
        <v>84</v>
      </c>
    </row>
    <row r="15" spans="1:6" x14ac:dyDescent="0.25">
      <c r="A15" s="157" t="s">
        <v>98</v>
      </c>
      <c r="B15" s="158" t="s">
        <v>494</v>
      </c>
      <c r="C15" s="157" t="s">
        <v>178</v>
      </c>
      <c r="D15" s="157" t="s">
        <v>550</v>
      </c>
      <c r="E15" s="158"/>
      <c r="F15" s="10" t="s">
        <v>260</v>
      </c>
    </row>
    <row r="16" spans="1:6" x14ac:dyDescent="0.25">
      <c r="A16" s="34" t="s">
        <v>495</v>
      </c>
      <c r="B16" s="33" t="s">
        <v>496</v>
      </c>
      <c r="C16" s="33" t="s">
        <v>178</v>
      </c>
      <c r="D16" s="157" t="s">
        <v>550</v>
      </c>
      <c r="E16" s="33"/>
      <c r="F16" s="10"/>
    </row>
    <row r="17" spans="1:6" ht="14.45" customHeight="1" x14ac:dyDescent="0.25">
      <c r="A17" s="34" t="s">
        <v>497</v>
      </c>
      <c r="B17" s="33" t="s">
        <v>498</v>
      </c>
      <c r="C17" s="33" t="s">
        <v>112</v>
      </c>
      <c r="D17" s="159" t="s">
        <v>189</v>
      </c>
      <c r="E17" s="158"/>
      <c r="F17" s="10"/>
    </row>
    <row r="18" spans="1:6" x14ac:dyDescent="0.25">
      <c r="A18" s="157" t="s">
        <v>500</v>
      </c>
      <c r="B18" s="157" t="s">
        <v>501</v>
      </c>
      <c r="C18" s="157" t="s">
        <v>178</v>
      </c>
      <c r="D18" s="51" t="s">
        <v>511</v>
      </c>
      <c r="E18" s="157"/>
      <c r="F18" s="10"/>
    </row>
    <row r="19" spans="1:6" ht="25.5" x14ac:dyDescent="0.25">
      <c r="A19" s="157" t="s">
        <v>502</v>
      </c>
      <c r="B19" s="157" t="s">
        <v>503</v>
      </c>
      <c r="C19" s="157" t="s">
        <v>112</v>
      </c>
      <c r="D19" s="162" t="s">
        <v>514</v>
      </c>
      <c r="E19" s="157"/>
      <c r="F19" s="10"/>
    </row>
    <row r="20" spans="1:6" ht="14.45" customHeight="1" x14ac:dyDescent="0.25">
      <c r="A20" s="157" t="s">
        <v>504</v>
      </c>
      <c r="B20" s="158" t="s">
        <v>505</v>
      </c>
      <c r="C20" s="158" t="s">
        <v>112</v>
      </c>
      <c r="D20" s="163" t="s">
        <v>552</v>
      </c>
      <c r="E20" s="158"/>
      <c r="F20" s="10"/>
    </row>
    <row r="21" spans="1:6" x14ac:dyDescent="0.25">
      <c r="A21" s="157" t="s">
        <v>506</v>
      </c>
      <c r="B21" s="157" t="s">
        <v>507</v>
      </c>
      <c r="C21" s="157" t="s">
        <v>112</v>
      </c>
      <c r="D21" s="162" t="s">
        <v>515</v>
      </c>
      <c r="E21" s="157"/>
      <c r="F21" s="10"/>
    </row>
    <row r="22" spans="1:6" ht="14.45" customHeight="1" x14ac:dyDescent="0.25">
      <c r="A22" s="160" t="s">
        <v>190</v>
      </c>
      <c r="B22" s="158" t="s">
        <v>508</v>
      </c>
      <c r="C22" s="158" t="s">
        <v>112</v>
      </c>
      <c r="D22" s="158" t="s">
        <v>134</v>
      </c>
      <c r="E22" s="158"/>
      <c r="F22" s="10" t="s">
        <v>260</v>
      </c>
    </row>
    <row r="23" spans="1:6" x14ac:dyDescent="0.25">
      <c r="A23" s="157" t="s">
        <v>509</v>
      </c>
      <c r="B23" s="157" t="s">
        <v>510</v>
      </c>
      <c r="C23" s="157" t="s">
        <v>112</v>
      </c>
      <c r="D23" s="157" t="s">
        <v>511</v>
      </c>
      <c r="E23" s="157"/>
      <c r="F23" s="10" t="s">
        <v>260</v>
      </c>
    </row>
    <row r="24" spans="1:6" x14ac:dyDescent="0.25">
      <c r="A24" s="157" t="s">
        <v>202</v>
      </c>
      <c r="B24" s="157" t="s">
        <v>203</v>
      </c>
      <c r="C24" s="157" t="s">
        <v>112</v>
      </c>
      <c r="D24" s="157" t="s">
        <v>512</v>
      </c>
      <c r="E24" s="158"/>
      <c r="F24" s="10" t="s">
        <v>260</v>
      </c>
    </row>
    <row r="25" spans="1:6" ht="14.45" customHeight="1" x14ac:dyDescent="0.25">
      <c r="A25" s="161" t="s">
        <v>164</v>
      </c>
      <c r="B25" s="157" t="s">
        <v>165</v>
      </c>
      <c r="C25" s="157" t="s">
        <v>166</v>
      </c>
      <c r="D25" s="162" t="s">
        <v>257</v>
      </c>
      <c r="E25" s="152"/>
      <c r="F25" s="10" t="s">
        <v>260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I20" sqref="I20"/>
    </sheetView>
  </sheetViews>
  <sheetFormatPr defaultRowHeight="15" x14ac:dyDescent="0.25"/>
  <cols>
    <col min="1" max="1" width="17.7109375" customWidth="1"/>
    <col min="2" max="2" width="44.42578125" customWidth="1"/>
    <col min="3" max="5" width="17.7109375" customWidth="1"/>
  </cols>
  <sheetData>
    <row r="1" spans="1:6" x14ac:dyDescent="0.25">
      <c r="A1" s="225" t="s">
        <v>92</v>
      </c>
      <c r="B1" s="40" t="s">
        <v>569</v>
      </c>
      <c r="D1" s="41" t="str">
        <f>HYPERLINK("#IDB_Level1!$A$1","Returnt to Index")</f>
        <v>Returnt to Index</v>
      </c>
    </row>
    <row r="2" spans="1:6" x14ac:dyDescent="0.25">
      <c r="A2" s="225" t="s">
        <v>93</v>
      </c>
      <c r="B2" s="40" t="s">
        <v>88</v>
      </c>
      <c r="D2" s="42" t="s">
        <v>94</v>
      </c>
    </row>
    <row r="3" spans="1:6" ht="26.25" x14ac:dyDescent="0.25">
      <c r="A3" s="225" t="s">
        <v>95</v>
      </c>
      <c r="B3" s="33"/>
    </row>
    <row r="4" spans="1:6" x14ac:dyDescent="0.25">
      <c r="A4" s="225" t="s">
        <v>96</v>
      </c>
      <c r="B4" s="40" t="s">
        <v>88</v>
      </c>
    </row>
    <row r="5" spans="1:6" x14ac:dyDescent="0.25">
      <c r="A5" s="225" t="s">
        <v>97</v>
      </c>
      <c r="B5" s="40" t="s">
        <v>105</v>
      </c>
    </row>
    <row r="6" spans="1:6" x14ac:dyDescent="0.25">
      <c r="A6" s="225" t="s">
        <v>99</v>
      </c>
      <c r="B6" s="40" t="s">
        <v>71</v>
      </c>
    </row>
    <row r="7" spans="1:6" x14ac:dyDescent="0.25">
      <c r="A7" s="225" t="s">
        <v>100</v>
      </c>
      <c r="B7" s="33"/>
    </row>
    <row r="8" spans="1:6" ht="39" x14ac:dyDescent="0.25">
      <c r="A8" s="225" t="s">
        <v>101</v>
      </c>
      <c r="B8" s="33" t="s">
        <v>585</v>
      </c>
    </row>
    <row r="9" spans="1:6" x14ac:dyDescent="0.25">
      <c r="A9" s="39" t="s">
        <v>77</v>
      </c>
      <c r="B9" s="43" t="s">
        <v>588</v>
      </c>
    </row>
    <row r="10" spans="1:6" x14ac:dyDescent="0.25">
      <c r="A10" s="225" t="s">
        <v>103</v>
      </c>
      <c r="B10" s="33" t="s">
        <v>104</v>
      </c>
    </row>
    <row r="11" spans="1:6" x14ac:dyDescent="0.25">
      <c r="A11" s="225" t="s">
        <v>102</v>
      </c>
      <c r="B11" s="40" t="s">
        <v>567</v>
      </c>
    </row>
    <row r="12" spans="1:6" x14ac:dyDescent="0.25">
      <c r="A12" s="225" t="s">
        <v>366</v>
      </c>
      <c r="B12" s="33" t="s">
        <v>367</v>
      </c>
    </row>
    <row r="14" spans="1:6" ht="14.45" customHeight="1" x14ac:dyDescent="0.25">
      <c r="A14" s="232" t="s">
        <v>107</v>
      </c>
      <c r="B14" s="49" t="s">
        <v>108</v>
      </c>
      <c r="C14" s="232" t="s">
        <v>109</v>
      </c>
      <c r="D14" s="232" t="s">
        <v>110</v>
      </c>
      <c r="E14" s="232" t="s">
        <v>34</v>
      </c>
      <c r="F14" s="232" t="s">
        <v>84</v>
      </c>
    </row>
    <row r="15" spans="1:6" x14ac:dyDescent="0.25">
      <c r="A15" s="10" t="s">
        <v>105</v>
      </c>
      <c r="B15" s="10" t="s">
        <v>593</v>
      </c>
      <c r="C15" s="157" t="s">
        <v>178</v>
      </c>
      <c r="D15" s="10" t="s">
        <v>127</v>
      </c>
      <c r="E15" s="10"/>
      <c r="F15" s="10"/>
    </row>
    <row r="16" spans="1:6" x14ac:dyDescent="0.25">
      <c r="A16" s="10" t="s">
        <v>207</v>
      </c>
      <c r="B16" s="10" t="s">
        <v>563</v>
      </c>
      <c r="C16" s="33" t="s">
        <v>178</v>
      </c>
      <c r="D16" s="10" t="s">
        <v>127</v>
      </c>
      <c r="E16" s="10"/>
      <c r="F16" s="10"/>
    </row>
    <row r="17" spans="1:6" x14ac:dyDescent="0.25">
      <c r="A17" s="10" t="s">
        <v>589</v>
      </c>
      <c r="B17" s="10" t="s">
        <v>589</v>
      </c>
      <c r="C17" s="33" t="s">
        <v>112</v>
      </c>
      <c r="D17" s="10" t="s">
        <v>127</v>
      </c>
      <c r="E17" s="10"/>
      <c r="F17" s="10"/>
    </row>
    <row r="18" spans="1:6" x14ac:dyDescent="0.25">
      <c r="A18" s="10" t="s">
        <v>113</v>
      </c>
      <c r="B18" s="10" t="s">
        <v>2</v>
      </c>
      <c r="C18" s="33" t="s">
        <v>112</v>
      </c>
      <c r="D18" s="10" t="s">
        <v>127</v>
      </c>
      <c r="E18" s="10"/>
      <c r="F18" s="10"/>
    </row>
    <row r="19" spans="1:6" x14ac:dyDescent="0.25">
      <c r="A19" s="10" t="s">
        <v>329</v>
      </c>
      <c r="B19" s="10" t="s">
        <v>77</v>
      </c>
      <c r="C19" s="33" t="s">
        <v>112</v>
      </c>
      <c r="D19" s="10" t="s">
        <v>127</v>
      </c>
      <c r="E19" s="10"/>
      <c r="F19" s="10"/>
    </row>
    <row r="20" spans="1:6" x14ac:dyDescent="0.25">
      <c r="A20" s="10" t="s">
        <v>340</v>
      </c>
      <c r="B20" s="10" t="s">
        <v>594</v>
      </c>
      <c r="C20" s="33" t="s">
        <v>112</v>
      </c>
      <c r="D20" s="10" t="s">
        <v>127</v>
      </c>
      <c r="E20" s="10"/>
      <c r="F20" s="10"/>
    </row>
    <row r="21" spans="1:6" x14ac:dyDescent="0.25">
      <c r="A21" s="10" t="s">
        <v>590</v>
      </c>
      <c r="B21" s="10" t="s">
        <v>3</v>
      </c>
      <c r="C21" s="33" t="s">
        <v>178</v>
      </c>
      <c r="D21" s="10" t="s">
        <v>127</v>
      </c>
      <c r="E21" s="10"/>
      <c r="F21" s="10"/>
    </row>
    <row r="22" spans="1:6" x14ac:dyDescent="0.25">
      <c r="A22" s="10" t="s">
        <v>591</v>
      </c>
      <c r="B22" s="10" t="s">
        <v>595</v>
      </c>
      <c r="C22" s="33" t="s">
        <v>178</v>
      </c>
      <c r="D22" s="10" t="s">
        <v>127</v>
      </c>
      <c r="E22" s="10"/>
      <c r="F22" s="10"/>
    </row>
    <row r="23" spans="1:6" x14ac:dyDescent="0.25">
      <c r="A23" s="10" t="s">
        <v>615</v>
      </c>
      <c r="B23" s="10" t="s">
        <v>596</v>
      </c>
      <c r="C23" s="33" t="s">
        <v>178</v>
      </c>
      <c r="D23" s="10" t="s">
        <v>127</v>
      </c>
      <c r="E23" s="10"/>
      <c r="F23" s="10"/>
    </row>
    <row r="24" spans="1:6" x14ac:dyDescent="0.25">
      <c r="A24" s="10" t="s">
        <v>592</v>
      </c>
      <c r="B24" s="10" t="s">
        <v>597</v>
      </c>
      <c r="C24" s="33" t="s">
        <v>178</v>
      </c>
      <c r="D24" s="10" t="s">
        <v>127</v>
      </c>
      <c r="E24" s="10"/>
      <c r="F24" s="10"/>
    </row>
    <row r="25" spans="1:6" x14ac:dyDescent="0.25">
      <c r="A25" s="10" t="s">
        <v>130</v>
      </c>
      <c r="B25" s="10" t="s">
        <v>598</v>
      </c>
      <c r="C25" s="164" t="s">
        <v>132</v>
      </c>
      <c r="D25" s="10" t="s">
        <v>127</v>
      </c>
      <c r="E25" s="10"/>
      <c r="F25" s="10"/>
    </row>
    <row r="26" spans="1:6" x14ac:dyDescent="0.25">
      <c r="A26" s="10" t="s">
        <v>246</v>
      </c>
      <c r="B26" s="10" t="s">
        <v>599</v>
      </c>
      <c r="C26" s="164" t="s">
        <v>132</v>
      </c>
      <c r="D26" s="10" t="s">
        <v>127</v>
      </c>
      <c r="E26" s="10"/>
      <c r="F26" s="10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C14" sqref="C14:F14"/>
    </sheetView>
  </sheetViews>
  <sheetFormatPr defaultRowHeight="15" x14ac:dyDescent="0.25"/>
  <cols>
    <col min="1" max="1" width="26.7109375" customWidth="1"/>
    <col min="2" max="2" width="42.28515625" customWidth="1"/>
    <col min="3" max="5" width="17.7109375" customWidth="1"/>
  </cols>
  <sheetData>
    <row r="1" spans="1:6" x14ac:dyDescent="0.25">
      <c r="A1" s="225" t="s">
        <v>92</v>
      </c>
      <c r="B1" s="40" t="s">
        <v>570</v>
      </c>
      <c r="D1" s="41" t="str">
        <f>HYPERLINK("#IDB_Level1!$A$1","Returnt to Index")</f>
        <v>Returnt to Index</v>
      </c>
    </row>
    <row r="2" spans="1:6" x14ac:dyDescent="0.25">
      <c r="A2" s="225" t="s">
        <v>93</v>
      </c>
      <c r="B2" s="40" t="s">
        <v>88</v>
      </c>
      <c r="D2" s="42" t="s">
        <v>94</v>
      </c>
    </row>
    <row r="3" spans="1:6" x14ac:dyDescent="0.25">
      <c r="A3" s="225" t="s">
        <v>95</v>
      </c>
      <c r="B3" s="33"/>
    </row>
    <row r="4" spans="1:6" x14ac:dyDescent="0.25">
      <c r="A4" s="225" t="s">
        <v>96</v>
      </c>
      <c r="B4" s="40" t="s">
        <v>88</v>
      </c>
    </row>
    <row r="5" spans="1:6" x14ac:dyDescent="0.25">
      <c r="A5" s="225" t="s">
        <v>97</v>
      </c>
      <c r="B5" s="40" t="s">
        <v>601</v>
      </c>
    </row>
    <row r="6" spans="1:6" x14ac:dyDescent="0.25">
      <c r="A6" s="225" t="s">
        <v>99</v>
      </c>
      <c r="B6" s="40" t="s">
        <v>71</v>
      </c>
    </row>
    <row r="7" spans="1:6" x14ac:dyDescent="0.25">
      <c r="A7" s="225" t="s">
        <v>100</v>
      </c>
      <c r="B7" s="33"/>
    </row>
    <row r="8" spans="1:6" ht="39" x14ac:dyDescent="0.25">
      <c r="A8" s="225" t="s">
        <v>101</v>
      </c>
      <c r="B8" s="33" t="s">
        <v>585</v>
      </c>
    </row>
    <row r="9" spans="1:6" ht="25.5" x14ac:dyDescent="0.25">
      <c r="A9" s="39" t="s">
        <v>77</v>
      </c>
      <c r="B9" s="43" t="s">
        <v>600</v>
      </c>
    </row>
    <row r="10" spans="1:6" x14ac:dyDescent="0.25">
      <c r="A10" s="225" t="s">
        <v>103</v>
      </c>
      <c r="B10" s="33" t="s">
        <v>104</v>
      </c>
    </row>
    <row r="11" spans="1:6" x14ac:dyDescent="0.25">
      <c r="A11" s="225" t="s">
        <v>102</v>
      </c>
      <c r="B11" s="40" t="s">
        <v>565</v>
      </c>
    </row>
    <row r="12" spans="1:6" x14ac:dyDescent="0.25">
      <c r="A12" s="225" t="s">
        <v>366</v>
      </c>
      <c r="B12" s="33" t="s">
        <v>367</v>
      </c>
    </row>
    <row r="14" spans="1:6" ht="14.45" customHeight="1" x14ac:dyDescent="0.25">
      <c r="A14" s="232" t="s">
        <v>107</v>
      </c>
      <c r="B14" s="49" t="s">
        <v>108</v>
      </c>
      <c r="C14" s="232" t="s">
        <v>109</v>
      </c>
      <c r="D14" s="232" t="s">
        <v>110</v>
      </c>
      <c r="E14" s="232" t="s">
        <v>34</v>
      </c>
      <c r="F14" s="232" t="s">
        <v>84</v>
      </c>
    </row>
    <row r="15" spans="1:6" x14ac:dyDescent="0.25">
      <c r="A15" s="10" t="s">
        <v>601</v>
      </c>
      <c r="B15" s="10" t="s">
        <v>603</v>
      </c>
      <c r="C15" s="157" t="s">
        <v>178</v>
      </c>
      <c r="D15" s="10" t="s">
        <v>127</v>
      </c>
      <c r="E15" s="10"/>
      <c r="F15" s="10"/>
    </row>
    <row r="16" spans="1:6" x14ac:dyDescent="0.25">
      <c r="A16" s="10" t="s">
        <v>105</v>
      </c>
      <c r="B16" s="10" t="s">
        <v>604</v>
      </c>
      <c r="C16" s="33" t="s">
        <v>178</v>
      </c>
      <c r="D16" s="10" t="s">
        <v>127</v>
      </c>
      <c r="E16" s="10"/>
      <c r="F16" s="10"/>
    </row>
    <row r="17" spans="1:6" x14ac:dyDescent="0.25">
      <c r="A17" s="10" t="s">
        <v>207</v>
      </c>
      <c r="B17" s="10" t="s">
        <v>563</v>
      </c>
      <c r="C17" s="33" t="s">
        <v>112</v>
      </c>
      <c r="D17" s="10" t="s">
        <v>127</v>
      </c>
      <c r="E17" s="10"/>
      <c r="F17" s="10"/>
    </row>
    <row r="18" spans="1:6" x14ac:dyDescent="0.25">
      <c r="A18" s="10" t="s">
        <v>602</v>
      </c>
      <c r="B18" s="10" t="s">
        <v>605</v>
      </c>
      <c r="C18" s="33" t="s">
        <v>112</v>
      </c>
      <c r="D18" s="10" t="s">
        <v>127</v>
      </c>
      <c r="E18" s="10"/>
      <c r="F18" s="10"/>
    </row>
    <row r="19" spans="1:6" x14ac:dyDescent="0.25">
      <c r="A19" s="10" t="s">
        <v>113</v>
      </c>
      <c r="B19" s="10" t="s">
        <v>2</v>
      </c>
      <c r="C19" s="33" t="s">
        <v>112</v>
      </c>
      <c r="D19" s="10" t="s">
        <v>127</v>
      </c>
      <c r="E19" s="10"/>
      <c r="F19" s="10"/>
    </row>
    <row r="20" spans="1:6" x14ac:dyDescent="0.25">
      <c r="A20" s="10" t="s">
        <v>340</v>
      </c>
      <c r="B20" s="10" t="s">
        <v>594</v>
      </c>
      <c r="C20" s="33" t="s">
        <v>112</v>
      </c>
      <c r="D20" s="10" t="s">
        <v>127</v>
      </c>
      <c r="E20" s="10"/>
      <c r="F20" s="10"/>
    </row>
    <row r="21" spans="1:6" x14ac:dyDescent="0.25">
      <c r="A21" s="10" t="s">
        <v>261</v>
      </c>
      <c r="B21" s="10" t="s">
        <v>261</v>
      </c>
      <c r="C21" s="33" t="s">
        <v>178</v>
      </c>
      <c r="D21" s="10" t="s">
        <v>127</v>
      </c>
      <c r="E21" s="10"/>
      <c r="F21" s="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C14" sqref="C14:F14"/>
    </sheetView>
  </sheetViews>
  <sheetFormatPr defaultRowHeight="15" x14ac:dyDescent="0.25"/>
  <cols>
    <col min="1" max="1" width="17.7109375" customWidth="1"/>
    <col min="2" max="2" width="55.5703125" customWidth="1"/>
    <col min="3" max="5" width="17.7109375" customWidth="1"/>
  </cols>
  <sheetData>
    <row r="1" spans="1:6" x14ac:dyDescent="0.25">
      <c r="A1" s="225" t="s">
        <v>92</v>
      </c>
      <c r="B1" s="40" t="s">
        <v>571</v>
      </c>
      <c r="D1" s="41" t="str">
        <f>HYPERLINK("#IDB_Level1!$A$1","Returnt to Index")</f>
        <v>Returnt to Index</v>
      </c>
    </row>
    <row r="2" spans="1:6" x14ac:dyDescent="0.25">
      <c r="A2" s="225" t="s">
        <v>93</v>
      </c>
      <c r="B2" s="40" t="s">
        <v>88</v>
      </c>
      <c r="D2" s="42" t="s">
        <v>94</v>
      </c>
    </row>
    <row r="3" spans="1:6" ht="26.25" x14ac:dyDescent="0.25">
      <c r="A3" s="225" t="s">
        <v>95</v>
      </c>
      <c r="B3" s="33"/>
    </row>
    <row r="4" spans="1:6" x14ac:dyDescent="0.25">
      <c r="A4" s="225" t="s">
        <v>96</v>
      </c>
      <c r="B4" s="40" t="s">
        <v>88</v>
      </c>
    </row>
    <row r="5" spans="1:6" x14ac:dyDescent="0.25">
      <c r="A5" s="225" t="s">
        <v>97</v>
      </c>
      <c r="B5" s="157" t="s">
        <v>98</v>
      </c>
    </row>
    <row r="6" spans="1:6" x14ac:dyDescent="0.25">
      <c r="A6" s="225" t="s">
        <v>99</v>
      </c>
      <c r="B6" s="157" t="s">
        <v>98</v>
      </c>
    </row>
    <row r="7" spans="1:6" x14ac:dyDescent="0.25">
      <c r="A7" s="225" t="s">
        <v>100</v>
      </c>
      <c r="B7" s="33"/>
    </row>
    <row r="8" spans="1:6" ht="45" x14ac:dyDescent="0.25">
      <c r="A8" s="225" t="s">
        <v>101</v>
      </c>
      <c r="B8" s="82" t="s">
        <v>585</v>
      </c>
    </row>
    <row r="9" spans="1:6" ht="25.5" x14ac:dyDescent="0.25">
      <c r="A9" s="39" t="s">
        <v>77</v>
      </c>
      <c r="B9" s="174" t="s">
        <v>613</v>
      </c>
    </row>
    <row r="10" spans="1:6" x14ac:dyDescent="0.25">
      <c r="A10" s="225" t="s">
        <v>103</v>
      </c>
      <c r="B10" s="33" t="s">
        <v>104</v>
      </c>
    </row>
    <row r="11" spans="1:6" x14ac:dyDescent="0.25">
      <c r="A11" s="227" t="s">
        <v>102</v>
      </c>
      <c r="B11" s="40" t="s">
        <v>566</v>
      </c>
    </row>
    <row r="12" spans="1:6" x14ac:dyDescent="0.25">
      <c r="A12" s="225" t="s">
        <v>366</v>
      </c>
      <c r="B12" s="33" t="s">
        <v>367</v>
      </c>
    </row>
    <row r="14" spans="1:6" x14ac:dyDescent="0.25">
      <c r="A14" s="232" t="s">
        <v>107</v>
      </c>
      <c r="B14" s="49" t="s">
        <v>108</v>
      </c>
      <c r="C14" s="232" t="s">
        <v>109</v>
      </c>
      <c r="D14" s="232" t="s">
        <v>110</v>
      </c>
      <c r="E14" s="232" t="s">
        <v>34</v>
      </c>
      <c r="F14" s="232" t="s">
        <v>84</v>
      </c>
    </row>
    <row r="15" spans="1:6" x14ac:dyDescent="0.25">
      <c r="A15" s="157" t="s">
        <v>98</v>
      </c>
      <c r="B15" s="175" t="s">
        <v>177</v>
      </c>
      <c r="C15" s="175" t="s">
        <v>178</v>
      </c>
      <c r="D15" s="175" t="s">
        <v>127</v>
      </c>
      <c r="E15" s="176"/>
      <c r="F15" s="10"/>
    </row>
    <row r="16" spans="1:6" x14ac:dyDescent="0.25">
      <c r="A16" s="157" t="s">
        <v>105</v>
      </c>
      <c r="B16" s="157" t="s">
        <v>206</v>
      </c>
      <c r="C16" s="157" t="s">
        <v>178</v>
      </c>
      <c r="D16" s="175" t="s">
        <v>127</v>
      </c>
      <c r="E16" s="158"/>
      <c r="F16" s="10"/>
    </row>
    <row r="17" spans="1:6" ht="63.75" x14ac:dyDescent="0.25">
      <c r="A17" s="157" t="s">
        <v>207</v>
      </c>
      <c r="B17" s="157" t="s">
        <v>606</v>
      </c>
      <c r="C17" s="157" t="s">
        <v>178</v>
      </c>
      <c r="D17" s="175" t="s">
        <v>127</v>
      </c>
      <c r="E17" s="158"/>
      <c r="F17" s="10"/>
    </row>
    <row r="18" spans="1:6" x14ac:dyDescent="0.25">
      <c r="A18" s="157" t="s">
        <v>607</v>
      </c>
      <c r="B18" s="157" t="s">
        <v>608</v>
      </c>
      <c r="C18" s="157" t="s">
        <v>112</v>
      </c>
      <c r="D18" s="175" t="s">
        <v>127</v>
      </c>
      <c r="E18" s="177"/>
      <c r="F18" s="10"/>
    </row>
    <row r="19" spans="1:6" x14ac:dyDescent="0.25">
      <c r="A19" s="34" t="s">
        <v>609</v>
      </c>
      <c r="B19" s="34" t="s">
        <v>610</v>
      </c>
      <c r="C19" s="34" t="s">
        <v>112</v>
      </c>
      <c r="D19" s="175" t="s">
        <v>127</v>
      </c>
      <c r="E19" s="33"/>
      <c r="F19" s="10"/>
    </row>
    <row r="20" spans="1:6" x14ac:dyDescent="0.25">
      <c r="A20" s="34" t="s">
        <v>611</v>
      </c>
      <c r="B20" s="34" t="s">
        <v>612</v>
      </c>
      <c r="C20" s="34" t="s">
        <v>132</v>
      </c>
      <c r="D20" s="175" t="s">
        <v>127</v>
      </c>
      <c r="E20" s="33"/>
      <c r="F20" s="10"/>
    </row>
    <row r="21" spans="1:6" x14ac:dyDescent="0.25">
      <c r="A21" s="34" t="s">
        <v>190</v>
      </c>
      <c r="B21" s="34" t="s">
        <v>212</v>
      </c>
      <c r="C21" s="34" t="s">
        <v>132</v>
      </c>
      <c r="D21" s="175" t="s">
        <v>127</v>
      </c>
      <c r="E21" s="33"/>
      <c r="F21" s="10" t="s">
        <v>260</v>
      </c>
    </row>
    <row r="22" spans="1:6" ht="25.5" x14ac:dyDescent="0.25">
      <c r="A22" s="161" t="s">
        <v>164</v>
      </c>
      <c r="B22" s="157" t="s">
        <v>165</v>
      </c>
      <c r="C22" s="157" t="s">
        <v>166</v>
      </c>
      <c r="D22" s="175" t="s">
        <v>127</v>
      </c>
      <c r="E22" s="152"/>
      <c r="F22" s="10" t="s">
        <v>260</v>
      </c>
    </row>
    <row r="23" spans="1:6" x14ac:dyDescent="0.25">
      <c r="A23" s="157" t="s">
        <v>202</v>
      </c>
      <c r="B23" s="157" t="s">
        <v>203</v>
      </c>
      <c r="C23" s="157" t="s">
        <v>112</v>
      </c>
      <c r="D23" s="175" t="s">
        <v>127</v>
      </c>
      <c r="E23" s="158"/>
      <c r="F23" s="10" t="s">
        <v>260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D1" sqref="D1"/>
    </sheetView>
  </sheetViews>
  <sheetFormatPr defaultRowHeight="15" x14ac:dyDescent="0.25"/>
  <cols>
    <col min="1" max="1" width="20" customWidth="1"/>
    <col min="2" max="2" width="53.28515625" customWidth="1"/>
    <col min="3" max="5" width="17.7109375" customWidth="1"/>
  </cols>
  <sheetData>
    <row r="1" spans="1:6" x14ac:dyDescent="0.25">
      <c r="A1" s="225" t="s">
        <v>92</v>
      </c>
      <c r="B1" s="40" t="s">
        <v>572</v>
      </c>
      <c r="D1" s="41" t="str">
        <f>HYPERLINK("#IDB_Level2!$A$1","Returnt to Index")</f>
        <v>Returnt to Index</v>
      </c>
    </row>
    <row r="2" spans="1:6" x14ac:dyDescent="0.25">
      <c r="A2" s="225" t="s">
        <v>93</v>
      </c>
      <c r="B2" s="40" t="s">
        <v>88</v>
      </c>
      <c r="D2" s="42" t="s">
        <v>94</v>
      </c>
    </row>
    <row r="3" spans="1:6" x14ac:dyDescent="0.25">
      <c r="A3" s="225" t="s">
        <v>95</v>
      </c>
      <c r="B3" s="33"/>
    </row>
    <row r="4" spans="1:6" x14ac:dyDescent="0.25">
      <c r="A4" s="225" t="s">
        <v>96</v>
      </c>
      <c r="B4" s="40" t="s">
        <v>88</v>
      </c>
    </row>
    <row r="5" spans="1:6" x14ac:dyDescent="0.25">
      <c r="A5" s="225" t="s">
        <v>97</v>
      </c>
      <c r="B5" s="40" t="s">
        <v>272</v>
      </c>
    </row>
    <row r="6" spans="1:6" x14ac:dyDescent="0.25">
      <c r="A6" s="225" t="s">
        <v>99</v>
      </c>
      <c r="B6" s="40" t="s">
        <v>71</v>
      </c>
    </row>
    <row r="7" spans="1:6" x14ac:dyDescent="0.25">
      <c r="A7" s="225" t="s">
        <v>100</v>
      </c>
      <c r="B7" s="33"/>
    </row>
    <row r="8" spans="1:6" ht="39" x14ac:dyDescent="0.25">
      <c r="A8" s="225" t="s">
        <v>101</v>
      </c>
      <c r="B8" s="33" t="s">
        <v>585</v>
      </c>
    </row>
    <row r="9" spans="1:6" ht="25.5" x14ac:dyDescent="0.25">
      <c r="A9" s="39" t="s">
        <v>77</v>
      </c>
      <c r="B9" s="43" t="s">
        <v>614</v>
      </c>
    </row>
    <row r="10" spans="1:6" x14ac:dyDescent="0.25">
      <c r="A10" s="225" t="s">
        <v>103</v>
      </c>
      <c r="B10" s="33" t="s">
        <v>104</v>
      </c>
    </row>
    <row r="11" spans="1:6" x14ac:dyDescent="0.25">
      <c r="A11" s="225" t="s">
        <v>102</v>
      </c>
      <c r="B11" s="40" t="s">
        <v>568</v>
      </c>
    </row>
    <row r="12" spans="1:6" x14ac:dyDescent="0.25">
      <c r="A12" s="225" t="s">
        <v>366</v>
      </c>
      <c r="B12" s="33" t="s">
        <v>367</v>
      </c>
    </row>
    <row r="14" spans="1:6" x14ac:dyDescent="0.25">
      <c r="A14" s="232" t="s">
        <v>107</v>
      </c>
      <c r="B14" s="49" t="s">
        <v>108</v>
      </c>
      <c r="C14" s="232" t="s">
        <v>109</v>
      </c>
      <c r="D14" s="232" t="s">
        <v>110</v>
      </c>
      <c r="E14" s="232" t="s">
        <v>34</v>
      </c>
      <c r="F14" s="232" t="s">
        <v>84</v>
      </c>
    </row>
    <row r="15" spans="1:6" x14ac:dyDescent="0.25">
      <c r="A15" s="157" t="s">
        <v>105</v>
      </c>
      <c r="B15" s="158" t="s">
        <v>593</v>
      </c>
      <c r="C15" s="157" t="s">
        <v>178</v>
      </c>
      <c r="D15" s="157" t="s">
        <v>127</v>
      </c>
      <c r="E15" s="158"/>
      <c r="F15" s="10"/>
    </row>
    <row r="16" spans="1:6" x14ac:dyDescent="0.25">
      <c r="A16" s="10" t="s">
        <v>207</v>
      </c>
      <c r="B16" s="10" t="s">
        <v>563</v>
      </c>
      <c r="C16" s="157" t="s">
        <v>112</v>
      </c>
      <c r="D16" s="157" t="s">
        <v>127</v>
      </c>
      <c r="E16" s="10"/>
      <c r="F16" s="10"/>
    </row>
    <row r="17" spans="1:6" x14ac:dyDescent="0.25">
      <c r="A17" s="10" t="s">
        <v>272</v>
      </c>
      <c r="B17" s="158" t="s">
        <v>494</v>
      </c>
      <c r="C17" s="157" t="s">
        <v>178</v>
      </c>
      <c r="D17" s="157" t="s">
        <v>127</v>
      </c>
      <c r="E17" s="10"/>
      <c r="F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Revision</vt:lpstr>
      <vt:lpstr>Validation Rules Description</vt:lpstr>
      <vt:lpstr>Config</vt:lpstr>
      <vt:lpstr>IDB_Level1</vt:lpstr>
      <vt:lpstr>IDB_Level2</vt:lpstr>
      <vt:lpstr>IDB_FalloutDictionary</vt:lpstr>
      <vt:lpstr>IDB_PostFallout_Level1</vt:lpstr>
      <vt:lpstr>KPI_BSS_CUSTOMER</vt:lpstr>
      <vt:lpstr>KPI_BSS_INDIVIDUAL</vt:lpstr>
      <vt:lpstr>IDB_PostFallout_Level2</vt:lpstr>
      <vt:lpstr>KPI_REPORT</vt:lpstr>
      <vt:lpstr>KPI_REPORT_2</vt:lpstr>
      <vt:lpstr>IDB_DependenceDictionaryForL0</vt:lpstr>
      <vt:lpstr>IDB_PH1_CIM_CUSTOMER</vt:lpstr>
      <vt:lpstr>IDB_PH1_CIM_INDIVIDUAL</vt:lpstr>
      <vt:lpstr>IDB_PH1_CIM_LANGUAGE_REF</vt:lpstr>
      <vt:lpstr>IDB_PH1_CIM_CONTACT_MED</vt:lpstr>
      <vt:lpstr>IDB_PH1_CIM_CREDIT_PROFILE</vt:lpstr>
      <vt:lpstr>IDB_PH1_CIM_CONTACT_HOURS</vt:lpstr>
      <vt:lpstr>IDB_PH1_CIM_INDIV_NAME</vt:lpstr>
      <vt:lpstr>IDB_PH1_CIM_INDIV_IDENT</vt:lpstr>
      <vt:lpstr>IDB_PH1_CIM_ACCOUNT_REF</vt:lpstr>
      <vt:lpstr>IDB_PH1_CIM_PARTY_ROLE</vt:lpstr>
      <vt:lpstr>IDB_PH1_CIM_PTY_ROLE_ASC</vt:lpstr>
      <vt:lpstr>IDB_PH1_CIM_ATTACHMENT</vt:lpstr>
      <vt:lpstr>IDB_PH1_CIM_AGREEMENT_REF</vt:lpstr>
      <vt:lpstr>IDB_PH1_CIM_NOTE</vt:lpstr>
      <vt:lpstr>IDB_PH1_CIM_CON_MED_ASSOC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2025-02-24T19:41:49Z</dcterms:modified>
</cp:coreProperties>
</file>